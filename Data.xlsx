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165178DC-97BB-4C32-8760-890A382229DE}" xr6:coauthVersionLast="47" xr6:coauthVersionMax="47" xr10:uidLastSave="{00000000-0000-0000-0000-000000000000}"/>
  <bookViews>
    <workbookView xWindow="-120" yWindow="-120" windowWidth="29040" windowHeight="15720" xr2:uid="{4BD70CB1-442C-8E4A-983D-8CD44066B255}"/>
  </bookViews>
  <sheets>
    <sheet name="Sheet1" sheetId="1" r:id="rId1"/>
    <sheet name="Sheet2" sheetId="2" r:id="rId2"/>
  </sheets>
  <definedNames>
    <definedName name="_xlnm._FilterDatabase" localSheetId="1" hidden="1">Sheet2!$A$1:$L$49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9" i="2" l="1"/>
  <c r="H46" i="2"/>
  <c r="H43" i="2"/>
  <c r="H40" i="2"/>
  <c r="H37" i="2"/>
  <c r="H34" i="2"/>
  <c r="H31" i="2"/>
  <c r="H28" i="2"/>
  <c r="H25" i="2"/>
  <c r="H22" i="2"/>
  <c r="H19" i="2"/>
  <c r="H16" i="2"/>
  <c r="H13" i="2"/>
  <c r="H10" i="2"/>
  <c r="H7" i="2"/>
  <c r="H4" i="2"/>
  <c r="H48" i="2"/>
  <c r="H45" i="2"/>
  <c r="H42" i="2"/>
  <c r="H39" i="2"/>
  <c r="H36" i="2"/>
  <c r="H33" i="2"/>
  <c r="H30" i="2"/>
  <c r="H27" i="2"/>
  <c r="H24" i="2"/>
  <c r="H21" i="2"/>
  <c r="H18" i="2"/>
  <c r="H15" i="2"/>
  <c r="H12" i="2"/>
  <c r="H9" i="2"/>
  <c r="H6" i="2"/>
  <c r="H3" i="2"/>
  <c r="H47" i="2"/>
  <c r="H44" i="2"/>
  <c r="H41" i="2"/>
  <c r="H38" i="2"/>
  <c r="H35" i="2"/>
  <c r="H32" i="2"/>
  <c r="H29" i="2"/>
  <c r="H26" i="2"/>
  <c r="H23" i="2"/>
  <c r="H20" i="2"/>
  <c r="H17" i="2"/>
  <c r="H14" i="2"/>
  <c r="H11" i="2"/>
  <c r="H8" i="2"/>
  <c r="H5" i="2"/>
  <c r="H2" i="2"/>
</calcChain>
</file>

<file path=xl/sharedStrings.xml><?xml version="1.0" encoding="utf-8"?>
<sst xmlns="http://schemas.openxmlformats.org/spreadsheetml/2006/main" count="218" uniqueCount="67">
  <si>
    <t>mean value</t>
    <phoneticPr fontId="3" type="noConversion"/>
  </si>
  <si>
    <t>standard deviation</t>
    <phoneticPr fontId="3" type="noConversion"/>
  </si>
  <si>
    <t>Subsoil</t>
    <phoneticPr fontId="3" type="noConversion"/>
  </si>
  <si>
    <t>Middle soil</t>
    <phoneticPr fontId="3" type="noConversion"/>
  </si>
  <si>
    <t>Topsoil</t>
    <phoneticPr fontId="3" type="noConversion"/>
  </si>
  <si>
    <t>农地</t>
  </si>
  <si>
    <t>玉米</t>
  </si>
  <si>
    <t>0-20</t>
  </si>
  <si>
    <t>30-50</t>
  </si>
  <si>
    <t>60-80</t>
  </si>
  <si>
    <t>谷子</t>
  </si>
  <si>
    <t>土豆</t>
  </si>
  <si>
    <t>果园</t>
  </si>
  <si>
    <t>核桃</t>
  </si>
  <si>
    <t>苹果</t>
  </si>
  <si>
    <t>草地</t>
  </si>
  <si>
    <t>白羊草</t>
  </si>
  <si>
    <t>针芒</t>
  </si>
  <si>
    <t>铁杆蒿</t>
  </si>
  <si>
    <t>角蒿</t>
  </si>
  <si>
    <t>灌木地</t>
  </si>
  <si>
    <t>柠条</t>
  </si>
  <si>
    <t>沙棘</t>
  </si>
  <si>
    <t>杠柳</t>
  </si>
  <si>
    <t>狼牙刺</t>
  </si>
  <si>
    <t>林地</t>
  </si>
  <si>
    <t>刺槐</t>
  </si>
  <si>
    <t>柳树</t>
  </si>
  <si>
    <t>油松</t>
  </si>
  <si>
    <t>Land use type</t>
    <phoneticPr fontId="2" type="noConversion"/>
  </si>
  <si>
    <t>site code</t>
    <phoneticPr fontId="2" type="noConversion"/>
  </si>
  <si>
    <r>
      <rPr>
        <sz val="11"/>
        <color rgb="FFFF0000"/>
        <rFont val="微软雅黑"/>
        <family val="2"/>
        <charset val="134"/>
      </rPr>
      <t>深度</t>
    </r>
    <phoneticPr fontId="2" type="noConversion"/>
  </si>
  <si>
    <r>
      <t>DOC_</t>
    </r>
    <r>
      <rPr>
        <sz val="11"/>
        <color rgb="FFFF0000"/>
        <rFont val="微软雅黑"/>
        <family val="2"/>
        <charset val="134"/>
      </rPr>
      <t>均值</t>
    </r>
    <phoneticPr fontId="2" type="noConversion"/>
  </si>
  <si>
    <r>
      <t>SUVA254_</t>
    </r>
    <r>
      <rPr>
        <sz val="11"/>
        <color rgb="FFFF0000"/>
        <rFont val="微软雅黑"/>
        <family val="2"/>
        <charset val="134"/>
      </rPr>
      <t>均值</t>
    </r>
    <phoneticPr fontId="2" type="noConversion"/>
  </si>
  <si>
    <r>
      <t>HIX_</t>
    </r>
    <r>
      <rPr>
        <sz val="11"/>
        <color rgb="FFFF0000"/>
        <rFont val="微软雅黑"/>
        <family val="2"/>
        <charset val="134"/>
      </rPr>
      <t>均值</t>
    </r>
    <phoneticPr fontId="2" type="noConversion"/>
  </si>
  <si>
    <t>C3_占比</t>
    <phoneticPr fontId="2" type="noConversion"/>
  </si>
  <si>
    <r>
      <t>DOC_</t>
    </r>
    <r>
      <rPr>
        <sz val="11"/>
        <color rgb="FFFF0000"/>
        <rFont val="微软雅黑"/>
        <family val="2"/>
        <charset val="134"/>
      </rPr>
      <t>标准差</t>
    </r>
    <phoneticPr fontId="2" type="noConversion"/>
  </si>
  <si>
    <r>
      <t>SUVA254_</t>
    </r>
    <r>
      <rPr>
        <sz val="11"/>
        <color rgb="FFFF0000"/>
        <rFont val="微软雅黑"/>
        <family val="2"/>
        <charset val="134"/>
      </rPr>
      <t>标准差</t>
    </r>
    <phoneticPr fontId="2" type="noConversion"/>
  </si>
  <si>
    <r>
      <t>HIX_</t>
    </r>
    <r>
      <rPr>
        <sz val="11"/>
        <color rgb="FFFF0000"/>
        <rFont val="微软雅黑"/>
        <family val="2"/>
        <charset val="134"/>
      </rPr>
      <t>标准差</t>
    </r>
    <phoneticPr fontId="2" type="noConversion"/>
  </si>
  <si>
    <t>HIX</t>
  </si>
  <si>
    <r>
      <t>DOC content (mg kg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Times New Roman"/>
        <family val="1"/>
      </rPr>
      <t>)</t>
    </r>
  </si>
  <si>
    <r>
      <t>SUVA</t>
    </r>
    <r>
      <rPr>
        <vertAlign val="subscript"/>
        <sz val="12"/>
        <color theme="1"/>
        <rFont val="Times New Roman"/>
        <family val="1"/>
      </rPr>
      <t>254</t>
    </r>
    <r>
      <rPr>
        <sz val="11"/>
        <color theme="1"/>
        <rFont val="Times New Roman"/>
        <family val="1"/>
      </rPr>
      <t xml:space="preserve"> (L mg kg-1)</t>
    </r>
  </si>
  <si>
    <t>Land use type</t>
  </si>
  <si>
    <t>Site code</t>
  </si>
  <si>
    <t>Cropland</t>
  </si>
  <si>
    <t>Orchard</t>
  </si>
  <si>
    <t>Grassland</t>
  </si>
  <si>
    <t>Shrubland</t>
  </si>
  <si>
    <t>Forestland</t>
  </si>
  <si>
    <r>
      <t>C</t>
    </r>
    <r>
      <rPr>
        <vertAlign val="subscript"/>
        <sz val="10.5"/>
        <color theme="1"/>
        <rFont val="Times New Roman"/>
        <family val="1"/>
      </rPr>
      <t>ZM</t>
    </r>
  </si>
  <si>
    <r>
      <t>C</t>
    </r>
    <r>
      <rPr>
        <vertAlign val="subscript"/>
        <sz val="10.5"/>
        <color theme="1"/>
        <rFont val="Times New Roman"/>
        <family val="1"/>
      </rPr>
      <t>SI</t>
    </r>
  </si>
  <si>
    <r>
      <t>C</t>
    </r>
    <r>
      <rPr>
        <vertAlign val="subscript"/>
        <sz val="10.5"/>
        <color theme="1"/>
        <rFont val="Times New Roman"/>
        <family val="1"/>
      </rPr>
      <t>ST</t>
    </r>
  </si>
  <si>
    <r>
      <t>O</t>
    </r>
    <r>
      <rPr>
        <vertAlign val="subscript"/>
        <sz val="10.5"/>
        <color theme="1"/>
        <rFont val="Times New Roman"/>
        <family val="1"/>
      </rPr>
      <t>MP</t>
    </r>
  </si>
  <si>
    <r>
      <t>O</t>
    </r>
    <r>
      <rPr>
        <vertAlign val="subscript"/>
        <sz val="10.5"/>
        <color theme="1"/>
        <rFont val="Times New Roman"/>
        <family val="1"/>
      </rPr>
      <t>JR</t>
    </r>
  </si>
  <si>
    <r>
      <t>G</t>
    </r>
    <r>
      <rPr>
        <vertAlign val="subscript"/>
        <sz val="10.5"/>
        <color theme="1"/>
        <rFont val="Times New Roman"/>
        <family val="1"/>
      </rPr>
      <t>BI</t>
    </r>
  </si>
  <si>
    <r>
      <t>G</t>
    </r>
    <r>
      <rPr>
        <vertAlign val="subscript"/>
        <sz val="10.5"/>
        <color theme="1"/>
        <rFont val="Times New Roman"/>
        <family val="1"/>
      </rPr>
      <t>SB</t>
    </r>
  </si>
  <si>
    <r>
      <t>G</t>
    </r>
    <r>
      <rPr>
        <vertAlign val="subscript"/>
        <sz val="10.5"/>
        <color theme="1"/>
        <rFont val="Times New Roman"/>
        <family val="1"/>
      </rPr>
      <t>AS</t>
    </r>
  </si>
  <si>
    <r>
      <t>G</t>
    </r>
    <r>
      <rPr>
        <vertAlign val="subscript"/>
        <sz val="10.5"/>
        <color theme="1"/>
        <rFont val="Times New Roman"/>
        <family val="1"/>
      </rPr>
      <t>IS</t>
    </r>
  </si>
  <si>
    <r>
      <t>S</t>
    </r>
    <r>
      <rPr>
        <vertAlign val="subscript"/>
        <sz val="10.5"/>
        <color theme="1"/>
        <rFont val="Times New Roman"/>
        <family val="1"/>
      </rPr>
      <t>CK</t>
    </r>
  </si>
  <si>
    <r>
      <t>S</t>
    </r>
    <r>
      <rPr>
        <vertAlign val="subscript"/>
        <sz val="10.5"/>
        <color theme="1"/>
        <rFont val="Times New Roman"/>
        <family val="1"/>
      </rPr>
      <t>HR</t>
    </r>
  </si>
  <si>
    <r>
      <t>S</t>
    </r>
    <r>
      <rPr>
        <vertAlign val="subscript"/>
        <sz val="10.5"/>
        <color theme="1"/>
        <rFont val="Times New Roman"/>
        <family val="1"/>
      </rPr>
      <t>PS</t>
    </r>
  </si>
  <si>
    <r>
      <t>S</t>
    </r>
    <r>
      <rPr>
        <vertAlign val="subscript"/>
        <sz val="10.5"/>
        <color theme="1"/>
        <rFont val="Times New Roman"/>
        <family val="1"/>
      </rPr>
      <t>SM</t>
    </r>
  </si>
  <si>
    <r>
      <t>F</t>
    </r>
    <r>
      <rPr>
        <vertAlign val="subscript"/>
        <sz val="10.5"/>
        <color theme="1"/>
        <rFont val="Times New Roman"/>
        <family val="1"/>
      </rPr>
      <t>RP</t>
    </r>
  </si>
  <si>
    <r>
      <t>F</t>
    </r>
    <r>
      <rPr>
        <vertAlign val="subscript"/>
        <sz val="10.5"/>
        <color theme="1"/>
        <rFont val="Times New Roman"/>
        <family val="1"/>
      </rPr>
      <t>SA</t>
    </r>
  </si>
  <si>
    <r>
      <t>F</t>
    </r>
    <r>
      <rPr>
        <vertAlign val="subscript"/>
        <sz val="10.5"/>
        <color theme="1"/>
        <rFont val="Times New Roman"/>
        <family val="1"/>
      </rPr>
      <t>PT</t>
    </r>
  </si>
  <si>
    <t>proportion of C3 (%)</t>
  </si>
  <si>
    <r>
      <t>Site codes consist of a land use identifier (C, O, G, S, and F for cropland, orchard, grassland, shrubland, and forestland, respectively) followed by a vegetation code. 
The vegetation codes are ZM (</t>
    </r>
    <r>
      <rPr>
        <i/>
        <sz val="10.5"/>
        <color theme="1"/>
        <rFont val="Times New Roman"/>
        <family val="1"/>
      </rPr>
      <t>Zea mays</t>
    </r>
    <r>
      <rPr>
        <sz val="10.5"/>
        <color theme="1"/>
        <rFont val="Times New Roman"/>
        <family val="1"/>
      </rPr>
      <t xml:space="preserve"> L.), SI (</t>
    </r>
    <r>
      <rPr>
        <i/>
        <sz val="10.5"/>
        <color theme="1"/>
        <rFont val="Times New Roman"/>
        <family val="1"/>
      </rPr>
      <t>Setaria italica</t>
    </r>
    <r>
      <rPr>
        <sz val="10.5"/>
        <color theme="1"/>
        <rFont val="Times New Roman"/>
        <family val="1"/>
      </rPr>
      <t xml:space="preserve"> (L.) Beauv.), ST (</t>
    </r>
    <r>
      <rPr>
        <i/>
        <sz val="10.5"/>
        <color theme="1"/>
        <rFont val="Times New Roman"/>
        <family val="1"/>
      </rPr>
      <t>Solanum tuberosum</t>
    </r>
    <r>
      <rPr>
        <sz val="10.5"/>
        <color theme="1"/>
        <rFont val="Times New Roman"/>
        <family val="1"/>
      </rPr>
      <t xml:space="preserve"> L.), JR (</t>
    </r>
    <r>
      <rPr>
        <i/>
        <sz val="10.5"/>
        <color theme="1"/>
        <rFont val="Times New Roman"/>
        <family val="1"/>
      </rPr>
      <t>Juglans regia</t>
    </r>
    <r>
      <rPr>
        <sz val="10.5"/>
        <color theme="1"/>
        <rFont val="Times New Roman"/>
        <family val="1"/>
      </rPr>
      <t xml:space="preserve"> L.), MP (</t>
    </r>
    <r>
      <rPr>
        <i/>
        <sz val="10.5"/>
        <color theme="1"/>
        <rFont val="Times New Roman"/>
        <family val="1"/>
      </rPr>
      <t>Malus pumila</t>
    </r>
    <r>
      <rPr>
        <sz val="10.5"/>
        <color theme="1"/>
        <rFont val="Times New Roman"/>
        <family val="1"/>
      </rPr>
      <t xml:space="preserve"> Mill.), BI (</t>
    </r>
    <r>
      <rPr>
        <i/>
        <sz val="10.5"/>
        <color theme="1"/>
        <rFont val="Times New Roman"/>
        <family val="1"/>
      </rPr>
      <t>Bothriochloa ischaemum</t>
    </r>
    <r>
      <rPr>
        <sz val="10.5"/>
        <color theme="1"/>
        <rFont val="Times New Roman"/>
        <family val="1"/>
      </rPr>
      <t xml:space="preserve"> (L.) Keng), SB (</t>
    </r>
    <r>
      <rPr>
        <i/>
        <sz val="10.5"/>
        <color theme="1"/>
        <rFont val="Times New Roman"/>
        <family val="1"/>
      </rPr>
      <t>Stipa bungeana</t>
    </r>
    <r>
      <rPr>
        <sz val="10.5"/>
        <color theme="1"/>
        <rFont val="Times New Roman"/>
        <family val="1"/>
      </rPr>
      <t xml:space="preserve"> Trin.), AS (</t>
    </r>
    <r>
      <rPr>
        <i/>
        <sz val="10.5"/>
        <color theme="1"/>
        <rFont val="Times New Roman"/>
        <family val="1"/>
      </rPr>
      <t>Artemisia sacrorum</t>
    </r>
    <r>
      <rPr>
        <sz val="10.5"/>
        <color theme="1"/>
        <rFont val="Times New Roman"/>
        <family val="1"/>
      </rPr>
      <t xml:space="preserve"> Ledeb.), IS (</t>
    </r>
    <r>
      <rPr>
        <i/>
        <sz val="10.5"/>
        <color theme="1"/>
        <rFont val="Times New Roman"/>
        <family val="1"/>
      </rPr>
      <t>Incarvillea sinensis</t>
    </r>
    <r>
      <rPr>
        <sz val="10.5"/>
        <color theme="1"/>
        <rFont val="Times New Roman"/>
        <family val="1"/>
      </rPr>
      <t xml:space="preserve"> Lam.), CK (</t>
    </r>
    <r>
      <rPr>
        <i/>
        <sz val="10.5"/>
        <color theme="1"/>
        <rFont val="Times New Roman"/>
        <family val="1"/>
      </rPr>
      <t>Caragana korshinskii</t>
    </r>
    <r>
      <rPr>
        <sz val="10.5"/>
        <color theme="1"/>
        <rFont val="Times New Roman"/>
        <family val="1"/>
      </rPr>
      <t xml:space="preserve"> Kom.), HR (</t>
    </r>
    <r>
      <rPr>
        <i/>
        <sz val="10.5"/>
        <color theme="1"/>
        <rFont val="Times New Roman"/>
        <family val="1"/>
      </rPr>
      <t>Hippophae rhamnoides</t>
    </r>
    <r>
      <rPr>
        <sz val="10.5"/>
        <color theme="1"/>
        <rFont val="Times New Roman"/>
        <family val="1"/>
      </rPr>
      <t xml:space="preserve"> L.), PS (</t>
    </r>
    <r>
      <rPr>
        <i/>
        <sz val="10.5"/>
        <color theme="1"/>
        <rFont val="Times New Roman"/>
        <family val="1"/>
      </rPr>
      <t>Periploca sepium</t>
    </r>
    <r>
      <rPr>
        <sz val="10.5"/>
        <color theme="1"/>
        <rFont val="Times New Roman"/>
        <family val="1"/>
      </rPr>
      <t xml:space="preserve"> Bunge), SM (</t>
    </r>
    <r>
      <rPr>
        <i/>
        <sz val="10.5"/>
        <color theme="1"/>
        <rFont val="Times New Roman"/>
        <family val="1"/>
      </rPr>
      <t>Sophora moorcroftiana</t>
    </r>
    <r>
      <rPr>
        <sz val="10.5"/>
        <color theme="1"/>
        <rFont val="Times New Roman"/>
        <family val="1"/>
      </rPr>
      <t xml:space="preserve"> (Benth.)), RP (</t>
    </r>
    <r>
      <rPr>
        <i/>
        <sz val="10.5"/>
        <color theme="1"/>
        <rFont val="Times New Roman"/>
        <family val="1"/>
      </rPr>
      <t>Robinia pseudoacacia</t>
    </r>
    <r>
      <rPr>
        <sz val="10.5"/>
        <color theme="1"/>
        <rFont val="Times New Roman"/>
        <family val="1"/>
      </rPr>
      <t xml:space="preserve"> L.), SA (</t>
    </r>
    <r>
      <rPr>
        <i/>
        <sz val="10.5"/>
        <color theme="1"/>
        <rFont val="Times New Roman"/>
        <family val="1"/>
      </rPr>
      <t>Salix babylonica</t>
    </r>
    <r>
      <rPr>
        <sz val="10.5"/>
        <color theme="1"/>
        <rFont val="Times New Roman"/>
        <family val="1"/>
      </rPr>
      <t xml:space="preserve"> L.), and PT (</t>
    </r>
    <r>
      <rPr>
        <i/>
        <sz val="10.5"/>
        <color theme="1"/>
        <rFont val="Times New Roman"/>
        <family val="1"/>
      </rPr>
      <t>Pinus tabulaeformis</t>
    </r>
    <r>
      <rPr>
        <sz val="10.5"/>
        <color theme="1"/>
        <rFont val="Times New Roman"/>
        <family val="1"/>
      </rPr>
      <t xml:space="preserve"> Carr.).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</si>
</sst>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"/>
    <numFmt numFmtId="165" formatCode="0.000_ "/>
  </numFmts>
  <fonts count="11" x14ac:knownFonts="1">
    <font>
      <sz val="12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vertAlign val="superscript"/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FF0000"/>
      <name val="微软雅黑"/>
      <family val="2"/>
      <charset val="134"/>
    </font>
    <font>
      <vertAlign val="subscript"/>
      <sz val="12"/>
      <color theme="1"/>
      <name val="Times New Roman"/>
      <family val="1"/>
    </font>
    <font>
      <sz val="10.5"/>
      <color theme="1"/>
      <name val="Times New Roman"/>
      <family val="1"/>
    </font>
    <font>
      <vertAlign val="subscript"/>
      <sz val="10.5"/>
      <color theme="1"/>
      <name val="Times New Roman"/>
      <family val="1"/>
    </font>
    <font>
      <i/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/>
    <xf numFmtId="0" fontId="5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31104-D559-AE42-818A-B66A68E9678F}">
  <dimension ref="A1:Z20"/>
  <sheetViews>
    <sheetView tabSelected="1" zoomScaleNormal="100" workbookViewId="0">
      <selection activeCell="A20" sqref="A20:O20"/>
    </sheetView>
  </sheetViews>
  <sheetFormatPr defaultColWidth="8.875" defaultRowHeight="15.75" x14ac:dyDescent="0.25"/>
  <cols>
    <col min="1" max="1" width="12" style="8" customWidth="1"/>
    <col min="2" max="2" width="8.375" style="8" customWidth="1"/>
    <col min="3" max="16384" width="8.875" style="8"/>
  </cols>
  <sheetData>
    <row r="1" spans="1:26" ht="18.75" x14ac:dyDescent="0.25">
      <c r="A1" s="9" t="s">
        <v>42</v>
      </c>
      <c r="B1" s="7" t="s">
        <v>43</v>
      </c>
      <c r="C1" s="7" t="s">
        <v>40</v>
      </c>
      <c r="D1" s="7"/>
      <c r="E1" s="7"/>
      <c r="F1" s="7"/>
      <c r="G1" s="7"/>
      <c r="H1" s="7"/>
      <c r="I1" s="6" t="s">
        <v>65</v>
      </c>
      <c r="J1" s="6"/>
      <c r="K1" s="6"/>
      <c r="L1" s="6"/>
      <c r="M1" s="6"/>
      <c r="N1" s="6"/>
      <c r="O1" s="6" t="s">
        <v>41</v>
      </c>
      <c r="P1" s="6"/>
      <c r="Q1" s="6"/>
      <c r="R1" s="6"/>
      <c r="S1" s="6"/>
      <c r="T1" s="6"/>
      <c r="U1" s="6" t="s">
        <v>39</v>
      </c>
      <c r="V1" s="6"/>
      <c r="W1" s="6"/>
      <c r="X1" s="6"/>
      <c r="Y1" s="6"/>
      <c r="Z1" s="6"/>
    </row>
    <row r="2" spans="1:26" x14ac:dyDescent="0.25">
      <c r="A2" s="9"/>
      <c r="B2" s="7"/>
      <c r="C2" s="6" t="s">
        <v>4</v>
      </c>
      <c r="D2" s="6"/>
      <c r="E2" s="6" t="s">
        <v>3</v>
      </c>
      <c r="F2" s="6"/>
      <c r="G2" s="6" t="s">
        <v>2</v>
      </c>
      <c r="H2" s="6"/>
      <c r="I2" s="6" t="s">
        <v>4</v>
      </c>
      <c r="J2" s="6"/>
      <c r="K2" s="6" t="s">
        <v>3</v>
      </c>
      <c r="L2" s="6"/>
      <c r="M2" s="6" t="s">
        <v>2</v>
      </c>
      <c r="N2" s="6"/>
      <c r="O2" s="6" t="s">
        <v>4</v>
      </c>
      <c r="P2" s="6"/>
      <c r="Q2" s="6" t="s">
        <v>3</v>
      </c>
      <c r="R2" s="6"/>
      <c r="S2" s="6" t="s">
        <v>2</v>
      </c>
      <c r="T2" s="6"/>
      <c r="U2" s="6" t="s">
        <v>4</v>
      </c>
      <c r="V2" s="6"/>
      <c r="W2" s="6" t="s">
        <v>3</v>
      </c>
      <c r="X2" s="6"/>
      <c r="Y2" s="6" t="s">
        <v>2</v>
      </c>
      <c r="Z2" s="6"/>
    </row>
    <row r="3" spans="1:26" ht="30" x14ac:dyDescent="0.25">
      <c r="A3" s="9"/>
      <c r="B3" s="7"/>
      <c r="C3" s="2" t="s">
        <v>0</v>
      </c>
      <c r="D3" s="2" t="s">
        <v>1</v>
      </c>
      <c r="E3" s="2" t="s">
        <v>0</v>
      </c>
      <c r="F3" s="2" t="s">
        <v>1</v>
      </c>
      <c r="G3" s="2" t="s">
        <v>0</v>
      </c>
      <c r="H3" s="2" t="s">
        <v>1</v>
      </c>
      <c r="I3" s="2" t="s">
        <v>0</v>
      </c>
      <c r="J3" s="2" t="s">
        <v>1</v>
      </c>
      <c r="K3" s="2" t="s">
        <v>0</v>
      </c>
      <c r="L3" s="2" t="s">
        <v>1</v>
      </c>
      <c r="M3" s="2" t="s">
        <v>0</v>
      </c>
      <c r="N3" s="2" t="s">
        <v>1</v>
      </c>
      <c r="O3" s="2" t="s">
        <v>0</v>
      </c>
      <c r="P3" s="2" t="s">
        <v>1</v>
      </c>
      <c r="Q3" s="2" t="s">
        <v>0</v>
      </c>
      <c r="R3" s="2" t="s">
        <v>1</v>
      </c>
      <c r="S3" s="2" t="s">
        <v>0</v>
      </c>
      <c r="T3" s="2" t="s">
        <v>1</v>
      </c>
      <c r="U3" s="2" t="s">
        <v>0</v>
      </c>
      <c r="V3" s="2" t="s">
        <v>1</v>
      </c>
      <c r="W3" s="2" t="s">
        <v>0</v>
      </c>
      <c r="X3" s="2" t="s">
        <v>1</v>
      </c>
      <c r="Y3" s="2" t="s">
        <v>0</v>
      </c>
      <c r="Z3" s="2" t="s">
        <v>1</v>
      </c>
    </row>
    <row r="4" spans="1:26" ht="15.95" customHeight="1" x14ac:dyDescent="0.25">
      <c r="A4" s="9" t="s">
        <v>44</v>
      </c>
      <c r="B4" s="3" t="s">
        <v>49</v>
      </c>
      <c r="C4" s="3">
        <v>10.15972083333333</v>
      </c>
      <c r="D4" s="3">
        <v>4.3438138304060079</v>
      </c>
      <c r="E4" s="3">
        <v>5.9533333333333331</v>
      </c>
      <c r="F4" s="3">
        <v>2.5204052103267891</v>
      </c>
      <c r="G4" s="3">
        <v>5.1134999999999993</v>
      </c>
      <c r="H4" s="3">
        <v>2.1044944398293679</v>
      </c>
      <c r="I4" s="10">
        <v>19.353952063071052</v>
      </c>
      <c r="J4" s="5">
        <v>0.13869033148004914</v>
      </c>
      <c r="K4" s="4">
        <v>13.926484497460137</v>
      </c>
      <c r="L4" s="5">
        <v>3.7351835320125801E-2</v>
      </c>
      <c r="M4" s="4">
        <v>12.891682514891462</v>
      </c>
      <c r="N4" s="5">
        <v>1.2963240200318714E-2</v>
      </c>
      <c r="O4" s="3">
        <v>1.117838333333333</v>
      </c>
      <c r="P4" s="3">
        <v>0.78937097182541882</v>
      </c>
      <c r="Q4" s="3">
        <v>0.89666666666666694</v>
      </c>
      <c r="R4" s="3">
        <v>0.7611567564190862</v>
      </c>
      <c r="S4" s="3">
        <v>0.74952416666666666</v>
      </c>
      <c r="T4" s="3">
        <v>0.53576282757236282</v>
      </c>
      <c r="U4" s="3">
        <v>2.8377583333333329</v>
      </c>
      <c r="V4" s="3">
        <v>0.25372744309354461</v>
      </c>
      <c r="W4" s="3">
        <v>2.1896666666666671</v>
      </c>
      <c r="X4" s="3">
        <v>0.34594066841093729</v>
      </c>
      <c r="Y4" s="3">
        <v>1.849</v>
      </c>
      <c r="Z4" s="3">
        <v>0.38809745495874431</v>
      </c>
    </row>
    <row r="5" spans="1:26" ht="15.95" customHeight="1" x14ac:dyDescent="0.25">
      <c r="A5" s="9"/>
      <c r="B5" s="3" t="s">
        <v>50</v>
      </c>
      <c r="C5" s="3">
        <v>48.849166666666662</v>
      </c>
      <c r="D5" s="3">
        <v>3.346437612890715</v>
      </c>
      <c r="E5" s="3">
        <v>21.491872916565342</v>
      </c>
      <c r="F5" s="3">
        <v>2.442192470954645</v>
      </c>
      <c r="G5" s="3">
        <v>16.68</v>
      </c>
      <c r="H5" s="3">
        <v>2.4982066294917171</v>
      </c>
      <c r="I5" s="10">
        <v>19.182066554912435</v>
      </c>
      <c r="J5" s="5">
        <v>1.9982100093538135E-2</v>
      </c>
      <c r="K5" s="4">
        <v>26.617657489454345</v>
      </c>
      <c r="L5" s="5">
        <v>0.16857908929437537</v>
      </c>
      <c r="M5" s="4">
        <v>22.557691600762126</v>
      </c>
      <c r="N5" s="5">
        <v>0.10979408658188768</v>
      </c>
      <c r="O5" s="3">
        <v>1.2689706666666669</v>
      </c>
      <c r="P5" s="3">
        <v>0.21188875912453059</v>
      </c>
      <c r="Q5" s="3">
        <v>1.3474992342222221</v>
      </c>
      <c r="R5" s="3">
        <v>0.1544189728218259</v>
      </c>
      <c r="S5" s="3">
        <v>0.85218550676317673</v>
      </c>
      <c r="T5" s="3">
        <v>0.1271931118962798</v>
      </c>
      <c r="U5" s="3">
        <v>3.7598275833333328</v>
      </c>
      <c r="V5" s="3">
        <v>0.31191143687080558</v>
      </c>
      <c r="W5" s="3">
        <v>2.2359211838969588</v>
      </c>
      <c r="X5" s="3">
        <v>0.1945623665658171</v>
      </c>
      <c r="Y5" s="3">
        <v>1.7590370099999999</v>
      </c>
      <c r="Z5" s="3">
        <v>0.1743703502436626</v>
      </c>
    </row>
    <row r="6" spans="1:26" ht="15.95" customHeight="1" x14ac:dyDescent="0.25">
      <c r="A6" s="9"/>
      <c r="B6" s="3" t="s">
        <v>51</v>
      </c>
      <c r="C6" s="3">
        <v>54.857981535441667</v>
      </c>
      <c r="D6" s="3">
        <v>2.4442647344306891</v>
      </c>
      <c r="E6" s="3">
        <v>26.0357010215</v>
      </c>
      <c r="F6" s="3">
        <v>2.9119175661129839</v>
      </c>
      <c r="G6" s="3">
        <v>19.25663228416667</v>
      </c>
      <c r="H6" s="3">
        <v>2.5195862788040011</v>
      </c>
      <c r="I6" s="10">
        <v>31.268230845356399</v>
      </c>
      <c r="J6" s="5">
        <v>6.190679908016937E-2</v>
      </c>
      <c r="K6" s="4">
        <v>50.451791740574826</v>
      </c>
      <c r="L6" s="5">
        <v>7.9756671569595705E-2</v>
      </c>
      <c r="M6" s="4">
        <v>43.231624548680713</v>
      </c>
      <c r="N6" s="5">
        <v>6.8037488291432441E-2</v>
      </c>
      <c r="O6" s="3">
        <v>0.8410175691141667</v>
      </c>
      <c r="P6" s="3">
        <v>0.14918084641133289</v>
      </c>
      <c r="Q6" s="3">
        <v>1.1701360000000001</v>
      </c>
      <c r="R6" s="3">
        <v>0.19088023874474269</v>
      </c>
      <c r="S6" s="3">
        <v>0.7537845281054264</v>
      </c>
      <c r="T6" s="3">
        <v>0.1024665025832729</v>
      </c>
      <c r="U6" s="3">
        <v>2.717232333333333</v>
      </c>
      <c r="V6" s="3">
        <v>0.53868979604699385</v>
      </c>
      <c r="W6" s="3">
        <v>1.914102694655875</v>
      </c>
      <c r="X6" s="3">
        <v>0.2306872476802368</v>
      </c>
      <c r="Y6" s="3">
        <v>1.618333333333333</v>
      </c>
      <c r="Z6" s="3">
        <v>0.16014633291537589</v>
      </c>
    </row>
    <row r="7" spans="1:26" ht="15.95" customHeight="1" x14ac:dyDescent="0.25">
      <c r="A7" s="9" t="s">
        <v>45</v>
      </c>
      <c r="B7" s="3" t="s">
        <v>52</v>
      </c>
      <c r="C7" s="3">
        <v>89.149999999999991</v>
      </c>
      <c r="D7" s="3">
        <v>4.1396684100848624</v>
      </c>
      <c r="E7" s="3">
        <v>46.133333333333333</v>
      </c>
      <c r="F7" s="3">
        <v>3.5190761528698089</v>
      </c>
      <c r="G7" s="3">
        <v>25.493333333333339</v>
      </c>
      <c r="H7" s="3">
        <v>2.5911539490888589</v>
      </c>
      <c r="I7" s="10">
        <v>21.373774876046681</v>
      </c>
      <c r="J7" s="5">
        <v>5.476911399951731E-2</v>
      </c>
      <c r="K7" s="4">
        <v>34.557171632831313</v>
      </c>
      <c r="L7" s="5">
        <v>6.9138831334038836E-2</v>
      </c>
      <c r="M7" s="4">
        <v>23.970936334839223</v>
      </c>
      <c r="N7" s="5">
        <v>4.2981631784785916E-2</v>
      </c>
      <c r="O7" s="3">
        <v>3.589667318833333</v>
      </c>
      <c r="P7" s="3">
        <v>0.30428731052001939</v>
      </c>
      <c r="Q7" s="3">
        <v>1.5268298980107169</v>
      </c>
      <c r="R7" s="3">
        <v>0.19703110832290899</v>
      </c>
      <c r="S7" s="3">
        <v>0.89476368913332649</v>
      </c>
      <c r="T7" s="3">
        <v>0.1240556395532999</v>
      </c>
      <c r="U7" s="3">
        <v>7.2092809999999981</v>
      </c>
      <c r="V7" s="3">
        <v>0.46487462203577962</v>
      </c>
      <c r="W7" s="3">
        <v>3.6533333333333342</v>
      </c>
      <c r="X7" s="3">
        <v>0.26412150568332038</v>
      </c>
      <c r="Y7" s="3">
        <v>2.9683333333333342</v>
      </c>
      <c r="Z7" s="3">
        <v>0.25013040733488429</v>
      </c>
    </row>
    <row r="8" spans="1:26" ht="15.95" customHeight="1" x14ac:dyDescent="0.25">
      <c r="A8" s="9"/>
      <c r="B8" s="3" t="s">
        <v>53</v>
      </c>
      <c r="C8" s="3">
        <v>79.533333333333317</v>
      </c>
      <c r="D8" s="3">
        <v>6.3901662139903843</v>
      </c>
      <c r="E8" s="3">
        <v>40.15</v>
      </c>
      <c r="F8" s="3">
        <v>2.9831923108704119</v>
      </c>
      <c r="G8" s="3">
        <v>22.057374549999999</v>
      </c>
      <c r="H8" s="3">
        <v>2.3552353501079009</v>
      </c>
      <c r="I8" s="10">
        <v>4.2710008477116448</v>
      </c>
      <c r="J8" s="5">
        <v>9.1354376768501867E-3</v>
      </c>
      <c r="K8" s="4">
        <v>7.2028103613256356</v>
      </c>
      <c r="L8" s="5">
        <v>2.3084608656798157E-2</v>
      </c>
      <c r="M8" s="4">
        <v>23.459040642254926</v>
      </c>
      <c r="N8" s="5">
        <v>0.13227219179248523</v>
      </c>
      <c r="O8" s="3">
        <v>3.2629957803849998</v>
      </c>
      <c r="P8" s="3">
        <v>0.25539289729161813</v>
      </c>
      <c r="Q8" s="3">
        <v>1.3993929828770779</v>
      </c>
      <c r="R8" s="3">
        <v>0.21170779085687069</v>
      </c>
      <c r="S8" s="3">
        <v>0.79244249999999994</v>
      </c>
      <c r="T8" s="3">
        <v>0.1084335667028854</v>
      </c>
      <c r="U8" s="3">
        <v>8.3975161666666676</v>
      </c>
      <c r="V8" s="3">
        <v>0.50694232529797234</v>
      </c>
      <c r="W8" s="3">
        <v>3.4674999999999998</v>
      </c>
      <c r="X8" s="3">
        <v>0.27247304799857969</v>
      </c>
      <c r="Y8" s="3">
        <v>2.7858333333333332</v>
      </c>
      <c r="Z8" s="3">
        <v>0.23632679750500099</v>
      </c>
    </row>
    <row r="9" spans="1:26" ht="15.95" customHeight="1" x14ac:dyDescent="0.25">
      <c r="A9" s="9" t="s">
        <v>46</v>
      </c>
      <c r="B9" s="3" t="s">
        <v>54</v>
      </c>
      <c r="C9" s="3">
        <v>102.5291666666667</v>
      </c>
      <c r="D9" s="3">
        <v>33.659182596468739</v>
      </c>
      <c r="E9" s="3">
        <v>39.594095745115567</v>
      </c>
      <c r="F9" s="3">
        <v>14.415347191992661</v>
      </c>
      <c r="G9" s="3">
        <v>18.848691443470379</v>
      </c>
      <c r="H9" s="3">
        <v>5.0127374413261458</v>
      </c>
      <c r="I9" s="10">
        <v>18.062017331777859</v>
      </c>
      <c r="J9" s="5">
        <v>3.0951248600126956E-2</v>
      </c>
      <c r="K9" s="4">
        <v>31.149499848349045</v>
      </c>
      <c r="L9" s="5">
        <v>0.10930947082335628</v>
      </c>
      <c r="M9" s="4">
        <v>23.542953059715543</v>
      </c>
      <c r="N9" s="5">
        <v>7.5865092594636446E-2</v>
      </c>
      <c r="O9" s="3">
        <v>2.7176274999999999</v>
      </c>
      <c r="P9" s="3">
        <v>0.4540779290170957</v>
      </c>
      <c r="Q9" s="3">
        <v>2.1223333333333341</v>
      </c>
      <c r="R9" s="3">
        <v>0.43045424569091362</v>
      </c>
      <c r="S9" s="3">
        <v>1.8046</v>
      </c>
      <c r="T9" s="3">
        <v>0.21977419367283649</v>
      </c>
      <c r="U9" s="3">
        <v>4.0438999999999998</v>
      </c>
      <c r="V9" s="3">
        <v>0.27287404020569972</v>
      </c>
      <c r="W9" s="3">
        <v>2.690666666666667</v>
      </c>
      <c r="X9" s="3">
        <v>0.29559285368816879</v>
      </c>
      <c r="Y9" s="3">
        <v>2.1696</v>
      </c>
      <c r="Z9" s="3">
        <v>0.37197692010514438</v>
      </c>
    </row>
    <row r="10" spans="1:26" ht="15.75" customHeight="1" x14ac:dyDescent="0.25">
      <c r="A10" s="9"/>
      <c r="B10" s="3" t="s">
        <v>55</v>
      </c>
      <c r="C10" s="3">
        <v>59.500000000000007</v>
      </c>
      <c r="D10" s="3">
        <v>5.0365807304703702</v>
      </c>
      <c r="E10" s="3">
        <v>22.69</v>
      </c>
      <c r="F10" s="3">
        <v>3.409017453754088</v>
      </c>
      <c r="G10" s="3">
        <v>11.153333333333331</v>
      </c>
      <c r="H10" s="3">
        <v>2.448221370462214</v>
      </c>
      <c r="I10" s="10">
        <v>26.030578413744266</v>
      </c>
      <c r="J10" s="5">
        <v>5.9299050279154886E-2</v>
      </c>
      <c r="K10" s="4">
        <v>19.5002283646885</v>
      </c>
      <c r="L10" s="5">
        <v>4.981778075620228E-3</v>
      </c>
      <c r="M10" s="4">
        <v>13.439812595979062</v>
      </c>
      <c r="N10" s="5">
        <v>3.0158897105705993E-2</v>
      </c>
      <c r="O10" s="3">
        <v>2.453981421606048</v>
      </c>
      <c r="P10" s="3">
        <v>0.2537092400821731</v>
      </c>
      <c r="Q10" s="3">
        <v>1.772537688672845</v>
      </c>
      <c r="R10" s="3">
        <v>0.23194892410605791</v>
      </c>
      <c r="S10" s="3">
        <v>1.4199425000000001</v>
      </c>
      <c r="T10" s="3">
        <v>0.24306760231877869</v>
      </c>
      <c r="U10" s="3">
        <v>8.8835833333333341</v>
      </c>
      <c r="V10" s="3">
        <v>0.69843096798262871</v>
      </c>
      <c r="W10" s="3">
        <v>2.2607334285233338</v>
      </c>
      <c r="X10" s="3">
        <v>0.17426963207040619</v>
      </c>
      <c r="Y10" s="3">
        <v>1.904166666666667</v>
      </c>
      <c r="Z10" s="3">
        <v>0.15452531049186111</v>
      </c>
    </row>
    <row r="11" spans="1:26" x14ac:dyDescent="0.25">
      <c r="A11" s="9"/>
      <c r="B11" s="3" t="s">
        <v>56</v>
      </c>
      <c r="C11" s="3">
        <v>112.9922751209136</v>
      </c>
      <c r="D11" s="3">
        <v>37.84445190527056</v>
      </c>
      <c r="E11" s="3">
        <v>47.4068777468527</v>
      </c>
      <c r="F11" s="3">
        <v>9.8187345618679629</v>
      </c>
      <c r="G11" s="3">
        <v>22.49438665040558</v>
      </c>
      <c r="H11" s="3">
        <v>5.5015484723595547</v>
      </c>
      <c r="I11" s="10">
        <v>22.146748257258825</v>
      </c>
      <c r="J11" s="5">
        <v>5.9500624282121842E-2</v>
      </c>
      <c r="K11" s="4">
        <v>22.02688498568439</v>
      </c>
      <c r="L11" s="5">
        <v>2.4772762115417256E-2</v>
      </c>
      <c r="M11" s="4">
        <v>19.92721703495527</v>
      </c>
      <c r="N11" s="5">
        <v>4.412347750315105E-2</v>
      </c>
      <c r="O11" s="3">
        <v>2.6965583333333338</v>
      </c>
      <c r="P11" s="3">
        <v>0.15912167310431069</v>
      </c>
      <c r="Q11" s="3">
        <v>2.0587925</v>
      </c>
      <c r="R11" s="3">
        <v>0.4522634204325654</v>
      </c>
      <c r="S11" s="3">
        <v>1.8180666666666669</v>
      </c>
      <c r="T11" s="3">
        <v>0.30931812396076308</v>
      </c>
      <c r="U11" s="3">
        <v>4.1639583333333334</v>
      </c>
      <c r="V11" s="3">
        <v>0.59805221641643147</v>
      </c>
      <c r="W11" s="3">
        <v>2.5070000000000001</v>
      </c>
      <c r="X11" s="3">
        <v>0.32986865430184342</v>
      </c>
      <c r="Y11" s="3">
        <v>2.29135</v>
      </c>
      <c r="Z11" s="3">
        <v>0.44905728830720282</v>
      </c>
    </row>
    <row r="12" spans="1:26" x14ac:dyDescent="0.25">
      <c r="A12" s="9"/>
      <c r="B12" s="3" t="s">
        <v>57</v>
      </c>
      <c r="C12" s="3">
        <v>65.416666666666671</v>
      </c>
      <c r="D12" s="3">
        <v>6.6620640172319749</v>
      </c>
      <c r="E12" s="3">
        <v>26.413228849999999</v>
      </c>
      <c r="F12" s="3">
        <v>3.3187516175150531</v>
      </c>
      <c r="G12" s="3">
        <v>13.27831045416667</v>
      </c>
      <c r="H12" s="3">
        <v>2.482099830231657</v>
      </c>
      <c r="I12" s="10">
        <v>20.087723523672942</v>
      </c>
      <c r="J12" s="5">
        <v>3.7696428083673843E-2</v>
      </c>
      <c r="K12" s="4">
        <v>38.639816561063363</v>
      </c>
      <c r="L12" s="5">
        <v>5.849363375448223E-2</v>
      </c>
      <c r="M12" s="4">
        <v>26.222771681947997</v>
      </c>
      <c r="N12" s="5">
        <v>0.13046120789023216</v>
      </c>
      <c r="O12" s="3">
        <v>2.2352442164501549</v>
      </c>
      <c r="P12" s="3">
        <v>0.30164143073924032</v>
      </c>
      <c r="Q12" s="3">
        <v>1.931650122027694</v>
      </c>
      <c r="R12" s="3">
        <v>0.31226079412648938</v>
      </c>
      <c r="S12" s="3">
        <v>1.6520416586561479</v>
      </c>
      <c r="T12" s="3">
        <v>0.26737731443060658</v>
      </c>
      <c r="U12" s="3">
        <v>9.0170833333333338</v>
      </c>
      <c r="V12" s="3">
        <v>0.6890216309712216</v>
      </c>
      <c r="W12" s="3">
        <v>2.2968811833333329</v>
      </c>
      <c r="X12" s="3">
        <v>0.1992539673061485</v>
      </c>
      <c r="Y12" s="3">
        <v>1.9733333333333329</v>
      </c>
      <c r="Z12" s="3">
        <v>0.15749195287051879</v>
      </c>
    </row>
    <row r="13" spans="1:26" x14ac:dyDescent="0.25">
      <c r="A13" s="9" t="s">
        <v>47</v>
      </c>
      <c r="B13" s="3" t="s">
        <v>58</v>
      </c>
      <c r="C13" s="3">
        <v>104.1733333333333</v>
      </c>
      <c r="D13" s="3">
        <v>4.6413131631886024</v>
      </c>
      <c r="E13" s="3">
        <v>68.566666666666663</v>
      </c>
      <c r="F13" s="3">
        <v>3.5712344016481481</v>
      </c>
      <c r="G13" s="3">
        <v>51.876666666666672</v>
      </c>
      <c r="H13" s="3">
        <v>2.836317501567299</v>
      </c>
      <c r="I13" s="10">
        <v>6.8427215102666565</v>
      </c>
      <c r="J13" s="5">
        <v>9.2697302488637182E-3</v>
      </c>
      <c r="K13" s="4">
        <v>24.291764618279966</v>
      </c>
      <c r="L13" s="5">
        <v>4.2025504366989729E-2</v>
      </c>
      <c r="M13" s="4">
        <v>44.834040166344415</v>
      </c>
      <c r="N13" s="5">
        <v>4.9161081089107002E-2</v>
      </c>
      <c r="O13" s="3">
        <v>3.5034693333333329</v>
      </c>
      <c r="P13" s="3">
        <v>0.42308338485841079</v>
      </c>
      <c r="Q13" s="3">
        <v>2.4945804444444439</v>
      </c>
      <c r="R13" s="3">
        <v>0.2214066018009124</v>
      </c>
      <c r="S13" s="3">
        <v>2.301501914617579</v>
      </c>
      <c r="T13" s="3">
        <v>0.29781588148005739</v>
      </c>
      <c r="U13" s="3">
        <v>14.54920033333333</v>
      </c>
      <c r="V13" s="3">
        <v>0.94727419695944048</v>
      </c>
      <c r="W13" s="3">
        <v>5.2079279775199989</v>
      </c>
      <c r="X13" s="3">
        <v>0.385759405502209</v>
      </c>
      <c r="Y13" s="3">
        <v>4.2833333333333332</v>
      </c>
      <c r="Z13" s="3">
        <v>0.37108954658223148</v>
      </c>
    </row>
    <row r="14" spans="1:26" x14ac:dyDescent="0.25">
      <c r="A14" s="9"/>
      <c r="B14" s="3" t="s">
        <v>59</v>
      </c>
      <c r="C14" s="3">
        <v>102.9533333333333</v>
      </c>
      <c r="D14" s="3">
        <v>19.406411200218589</v>
      </c>
      <c r="E14" s="3">
        <v>69.549166666666665</v>
      </c>
      <c r="F14" s="3">
        <v>12.47048664945528</v>
      </c>
      <c r="G14" s="3">
        <v>37.981639458166669</v>
      </c>
      <c r="H14" s="3">
        <v>6.2377144622807483</v>
      </c>
      <c r="I14" s="10">
        <v>17.214820421591522</v>
      </c>
      <c r="J14" s="5">
        <v>5.1204223371534081E-2</v>
      </c>
      <c r="K14" s="4">
        <v>33.150502127079875</v>
      </c>
      <c r="L14" s="5">
        <v>4.8175923460942349E-2</v>
      </c>
      <c r="M14" s="4">
        <v>51.053518652298877</v>
      </c>
      <c r="N14" s="5">
        <v>0.10561035521937737</v>
      </c>
      <c r="O14" s="3">
        <v>3.2132174999999998</v>
      </c>
      <c r="P14" s="3">
        <v>0.28294138256166967</v>
      </c>
      <c r="Q14" s="3">
        <v>2.510416666666667</v>
      </c>
      <c r="R14" s="3">
        <v>0.28094227641775071</v>
      </c>
      <c r="S14" s="3">
        <v>2.275206666666667</v>
      </c>
      <c r="T14" s="3">
        <v>0.3712735811631323</v>
      </c>
      <c r="U14" s="3">
        <v>5.8167833333333334</v>
      </c>
      <c r="V14" s="3">
        <v>0.21476290027221509</v>
      </c>
      <c r="W14" s="3">
        <v>4.393883333333334</v>
      </c>
      <c r="X14" s="3">
        <v>0.23737077951950411</v>
      </c>
      <c r="Y14" s="3">
        <v>3.6286748625833338</v>
      </c>
      <c r="Z14" s="3">
        <v>0.28641474588750471</v>
      </c>
    </row>
    <row r="15" spans="1:26" x14ac:dyDescent="0.25">
      <c r="A15" s="9"/>
      <c r="B15" s="3" t="s">
        <v>60</v>
      </c>
      <c r="C15" s="3">
        <v>68.692166248741671</v>
      </c>
      <c r="D15" s="3">
        <v>5.9602508363892062</v>
      </c>
      <c r="E15" s="3">
        <v>36.213333333333331</v>
      </c>
      <c r="F15" s="3">
        <v>3.3632731171592409</v>
      </c>
      <c r="G15" s="3">
        <v>27.12</v>
      </c>
      <c r="H15" s="3">
        <v>2.553019602531303</v>
      </c>
      <c r="I15" s="10">
        <v>20.341320238111628</v>
      </c>
      <c r="J15" s="5">
        <v>9.273464398295711E-2</v>
      </c>
      <c r="K15" s="4">
        <v>41.924510587308809</v>
      </c>
      <c r="L15" s="5">
        <v>2.3567590193060255E-2</v>
      </c>
      <c r="M15" s="4">
        <v>54.767805920538727</v>
      </c>
      <c r="N15" s="5">
        <v>6.6373540739984208E-2</v>
      </c>
      <c r="O15" s="3">
        <v>3.7224425000000001</v>
      </c>
      <c r="P15" s="3">
        <v>0.56170125206352128</v>
      </c>
      <c r="Q15" s="3">
        <v>2.2115133422222222</v>
      </c>
      <c r="R15" s="3">
        <v>0.24621333302922821</v>
      </c>
      <c r="S15" s="3">
        <v>2.0086727473528381</v>
      </c>
      <c r="T15" s="3">
        <v>0.24166100266046489</v>
      </c>
      <c r="U15" s="3">
        <v>14.09930616666667</v>
      </c>
      <c r="V15" s="3">
        <v>0.92358560562180037</v>
      </c>
      <c r="W15" s="3">
        <v>4.7466666666666661</v>
      </c>
      <c r="X15" s="3">
        <v>0.33622258961055002</v>
      </c>
      <c r="Y15" s="3">
        <v>4.0539266959566662</v>
      </c>
      <c r="Z15" s="3">
        <v>0.36191364033603529</v>
      </c>
    </row>
    <row r="16" spans="1:26" x14ac:dyDescent="0.25">
      <c r="A16" s="9"/>
      <c r="B16" s="3" t="s">
        <v>61</v>
      </c>
      <c r="C16" s="3">
        <v>123.05</v>
      </c>
      <c r="D16" s="3">
        <v>17.17864523054185</v>
      </c>
      <c r="E16" s="3">
        <v>84.441666666666649</v>
      </c>
      <c r="F16" s="3">
        <v>26.314391193045029</v>
      </c>
      <c r="G16" s="3">
        <v>51.057138390966678</v>
      </c>
      <c r="H16" s="3">
        <v>6.2227477432814222</v>
      </c>
      <c r="I16" s="10">
        <v>20.930783011351302</v>
      </c>
      <c r="J16" s="5">
        <v>5.6726069441824151E-2</v>
      </c>
      <c r="K16" s="4">
        <v>32.496860062676689</v>
      </c>
      <c r="L16" s="5">
        <v>5.1093036365333439E-2</v>
      </c>
      <c r="M16" s="4">
        <v>44.627754942961893</v>
      </c>
      <c r="N16" s="5">
        <v>2.8193697111026931E-2</v>
      </c>
      <c r="O16" s="3">
        <v>2.9669941666666659</v>
      </c>
      <c r="P16" s="3">
        <v>0.18208788979043439</v>
      </c>
      <c r="Q16" s="3">
        <v>1.82341</v>
      </c>
      <c r="R16" s="3">
        <v>0.14600120063329489</v>
      </c>
      <c r="S16" s="3">
        <v>1.703093333333334</v>
      </c>
      <c r="T16" s="3">
        <v>0.15348532075699869</v>
      </c>
      <c r="U16" s="3">
        <v>5.5743416666666663</v>
      </c>
      <c r="V16" s="3">
        <v>0.2146507203398681</v>
      </c>
      <c r="W16" s="3">
        <v>4.0312250000000001</v>
      </c>
      <c r="X16" s="3">
        <v>0.21965698517544049</v>
      </c>
      <c r="Y16" s="3">
        <v>3.5178208195916669</v>
      </c>
      <c r="Z16" s="3">
        <v>0.30228748524824878</v>
      </c>
    </row>
    <row r="17" spans="1:26" ht="15.75" customHeight="1" x14ac:dyDescent="0.25">
      <c r="A17" s="9" t="s">
        <v>48</v>
      </c>
      <c r="B17" s="3" t="s">
        <v>62</v>
      </c>
      <c r="C17" s="3">
        <v>154.26666666666671</v>
      </c>
      <c r="D17" s="3">
        <v>23.140266503958909</v>
      </c>
      <c r="E17" s="3">
        <v>92.871666666666655</v>
      </c>
      <c r="F17" s="3">
        <v>21.2199641349874</v>
      </c>
      <c r="G17" s="3">
        <v>48.120266666666659</v>
      </c>
      <c r="H17" s="3">
        <v>9.4280793948505774</v>
      </c>
      <c r="I17" s="10">
        <v>11.156690508727147</v>
      </c>
      <c r="J17" s="5">
        <v>5.0133750462816526E-2</v>
      </c>
      <c r="K17" s="4">
        <v>32.774393472845063</v>
      </c>
      <c r="L17" s="5">
        <v>0.1081459928916919</v>
      </c>
      <c r="M17" s="4">
        <v>35.373840720353691</v>
      </c>
      <c r="N17" s="5">
        <v>6.1544991199838209E-2</v>
      </c>
      <c r="O17" s="3">
        <v>3.8709099999999999</v>
      </c>
      <c r="P17" s="3">
        <v>0.2846560602807281</v>
      </c>
      <c r="Q17" s="3">
        <v>2.3067000000000002</v>
      </c>
      <c r="R17" s="3">
        <v>0.15972482588672759</v>
      </c>
      <c r="S17" s="3">
        <v>2.0512084551729499</v>
      </c>
      <c r="T17" s="3">
        <v>0.22461461587539391</v>
      </c>
      <c r="U17" s="3">
        <v>8.4803083333333351</v>
      </c>
      <c r="V17" s="3">
        <v>0.2185581489436999</v>
      </c>
      <c r="W17" s="3">
        <v>5.5431333333333326</v>
      </c>
      <c r="X17" s="3">
        <v>0.23426789767014161</v>
      </c>
      <c r="Y17" s="3">
        <v>5.2742000000000004</v>
      </c>
      <c r="Z17" s="3">
        <v>0.3474224831788838</v>
      </c>
    </row>
    <row r="18" spans="1:26" x14ac:dyDescent="0.25">
      <c r="A18" s="9"/>
      <c r="B18" s="3" t="s">
        <v>63</v>
      </c>
      <c r="C18" s="3">
        <v>211.16333333333341</v>
      </c>
      <c r="D18" s="3">
        <v>41.867545758962137</v>
      </c>
      <c r="E18" s="3">
        <v>80.77</v>
      </c>
      <c r="F18" s="3">
        <v>3.8283844207089839</v>
      </c>
      <c r="G18" s="3">
        <v>36.783333333333317</v>
      </c>
      <c r="H18" s="3">
        <v>2.868266290836945</v>
      </c>
      <c r="I18" s="10">
        <v>13.727263022391281</v>
      </c>
      <c r="J18" s="5">
        <v>3.9505471364549238E-2</v>
      </c>
      <c r="K18" s="4">
        <v>31.446343472443832</v>
      </c>
      <c r="L18" s="5">
        <v>6.6093160131673476E-2</v>
      </c>
      <c r="M18" s="4">
        <v>37.277307836847278</v>
      </c>
      <c r="N18" s="5">
        <v>0.28188183130142908</v>
      </c>
      <c r="O18" s="3">
        <v>5.4379137777777782</v>
      </c>
      <c r="P18" s="3">
        <v>0.48051420633285602</v>
      </c>
      <c r="Q18" s="3">
        <v>2.554580444444444</v>
      </c>
      <c r="R18" s="3">
        <v>0.23088201168784839</v>
      </c>
      <c r="S18" s="3">
        <v>1.9857758333333331</v>
      </c>
      <c r="T18" s="3">
        <v>0.1753129951449606</v>
      </c>
      <c r="U18" s="3">
        <v>16.557374666666671</v>
      </c>
      <c r="V18" s="3">
        <v>1.0791057458207389</v>
      </c>
      <c r="W18" s="3">
        <v>5.8833333333333337</v>
      </c>
      <c r="X18" s="3">
        <v>0.45328212441026028</v>
      </c>
      <c r="Y18" s="3">
        <v>5.7741666666666669</v>
      </c>
      <c r="Z18" s="3">
        <v>0.44730705819367372</v>
      </c>
    </row>
    <row r="19" spans="1:26" x14ac:dyDescent="0.25">
      <c r="A19" s="9"/>
      <c r="B19" s="3" t="s">
        <v>64</v>
      </c>
      <c r="C19" s="3">
        <v>340.23333333333329</v>
      </c>
      <c r="D19" s="3">
        <v>44.838176171135537</v>
      </c>
      <c r="E19" s="3">
        <v>169.76666666666671</v>
      </c>
      <c r="F19" s="3">
        <v>28.959529366179378</v>
      </c>
      <c r="G19" s="3">
        <v>102.05833333333329</v>
      </c>
      <c r="H19" s="3">
        <v>19.42704552565986</v>
      </c>
      <c r="I19" s="10">
        <v>22.899551785667146</v>
      </c>
      <c r="J19" s="5">
        <v>1.1941724173589257E-2</v>
      </c>
      <c r="K19" s="4">
        <v>25.616484991558057</v>
      </c>
      <c r="L19" s="5">
        <v>1.9224221444100742E-2</v>
      </c>
      <c r="M19" s="4">
        <v>27.523398062422537</v>
      </c>
      <c r="N19" s="5">
        <v>6.2438418458330147E-2</v>
      </c>
      <c r="O19" s="3">
        <v>3.7637150000000008</v>
      </c>
      <c r="P19" s="3">
        <v>0.20957413241445769</v>
      </c>
      <c r="Q19" s="3">
        <v>2.4023699999999999</v>
      </c>
      <c r="R19" s="3">
        <v>0.1215308756317429</v>
      </c>
      <c r="S19" s="3">
        <v>2.142206666666667</v>
      </c>
      <c r="T19" s="3">
        <v>0.33560558976771132</v>
      </c>
      <c r="U19" s="3">
        <v>8.385466666666666</v>
      </c>
      <c r="V19" s="3">
        <v>0.10308935518042189</v>
      </c>
      <c r="W19" s="3">
        <v>5.8808416666666661</v>
      </c>
      <c r="X19" s="3">
        <v>0.24953113654624479</v>
      </c>
      <c r="Y19" s="3">
        <v>5.7747416666666664</v>
      </c>
      <c r="Z19" s="3">
        <v>0.31752575116282322</v>
      </c>
    </row>
    <row r="20" spans="1:26" ht="58.5" customHeight="1" x14ac:dyDescent="0.25">
      <c r="A20" s="11" t="s">
        <v>66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</sheetData>
  <mergeCells count="24">
    <mergeCell ref="U1:Z1"/>
    <mergeCell ref="U2:V2"/>
    <mergeCell ref="W2:X2"/>
    <mergeCell ref="Y2:Z2"/>
    <mergeCell ref="A1:A3"/>
    <mergeCell ref="Q2:R2"/>
    <mergeCell ref="S2:T2"/>
    <mergeCell ref="B1:B3"/>
    <mergeCell ref="C1:H1"/>
    <mergeCell ref="I1:N1"/>
    <mergeCell ref="O1:T1"/>
    <mergeCell ref="C2:D2"/>
    <mergeCell ref="E2:F2"/>
    <mergeCell ref="G2:H2"/>
    <mergeCell ref="I2:J2"/>
    <mergeCell ref="K2:L2"/>
    <mergeCell ref="A17:A19"/>
    <mergeCell ref="M2:N2"/>
    <mergeCell ref="O2:P2"/>
    <mergeCell ref="A4:A6"/>
    <mergeCell ref="A7:A8"/>
    <mergeCell ref="A9:A12"/>
    <mergeCell ref="A13:A16"/>
    <mergeCell ref="A20:O2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E80ED-9613-0F45-AAE1-8790F6687996}">
  <sheetPr filterMode="1"/>
  <dimension ref="A1:L49"/>
  <sheetViews>
    <sheetView workbookViewId="0">
      <selection activeCell="L4" sqref="L4:L49"/>
    </sheetView>
  </sheetViews>
  <sheetFormatPr defaultColWidth="8.875" defaultRowHeight="15.75" x14ac:dyDescent="0.25"/>
  <cols>
    <col min="1" max="3" width="8.875" style="1"/>
    <col min="4" max="6" width="9.125" style="1" bestFit="1" customWidth="1"/>
    <col min="7" max="8" width="11.125" style="1" customWidth="1"/>
    <col min="9" max="11" width="9.125" style="1" bestFit="1" customWidth="1"/>
    <col min="12" max="16384" width="8.875" style="1"/>
  </cols>
  <sheetData>
    <row r="1" spans="1:12" ht="16.5" x14ac:dyDescent="0.25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/>
      <c r="I1" s="3" t="s">
        <v>36</v>
      </c>
      <c r="J1" s="3" t="s">
        <v>37</v>
      </c>
      <c r="K1" s="3" t="s">
        <v>38</v>
      </c>
      <c r="L1" s="3"/>
    </row>
    <row r="2" spans="1:12" hidden="1" x14ac:dyDescent="0.25">
      <c r="A2" s="3" t="s">
        <v>5</v>
      </c>
      <c r="B2" s="3" t="s">
        <v>6</v>
      </c>
      <c r="C2" s="3" t="s">
        <v>7</v>
      </c>
      <c r="D2" s="3">
        <v>10.15972083333333</v>
      </c>
      <c r="E2" s="3">
        <v>1.117838333333333</v>
      </c>
      <c r="F2" s="3">
        <v>2.8377583333333329</v>
      </c>
      <c r="G2" s="3">
        <v>0.1935395206307105</v>
      </c>
      <c r="H2" s="3">
        <f>G2*100</f>
        <v>19.353952063071052</v>
      </c>
      <c r="I2" s="3">
        <v>4.3438138304060079</v>
      </c>
      <c r="J2" s="3">
        <v>0.78937097182541882</v>
      </c>
      <c r="K2" s="3">
        <v>0.25372744309354461</v>
      </c>
      <c r="L2" s="3">
        <v>0.13869033148004914</v>
      </c>
    </row>
    <row r="3" spans="1:12" hidden="1" x14ac:dyDescent="0.25">
      <c r="A3" s="3" t="s">
        <v>5</v>
      </c>
      <c r="B3" s="3" t="s">
        <v>6</v>
      </c>
      <c r="C3" s="3" t="s">
        <v>8</v>
      </c>
      <c r="D3" s="3">
        <v>5.9533333333333331</v>
      </c>
      <c r="E3" s="3">
        <v>0.89666666666666694</v>
      </c>
      <c r="F3" s="3">
        <v>2.1896666666666671</v>
      </c>
      <c r="G3" s="3">
        <v>0.13926484497460137</v>
      </c>
      <c r="H3" s="3">
        <f>G3*100</f>
        <v>13.926484497460137</v>
      </c>
      <c r="I3" s="3">
        <v>2.5204052103267891</v>
      </c>
      <c r="J3" s="3">
        <v>0.7611567564190862</v>
      </c>
      <c r="K3" s="3">
        <v>0.34594066841093729</v>
      </c>
      <c r="L3" s="3">
        <v>3.7351835320125801E-2</v>
      </c>
    </row>
    <row r="4" spans="1:12" x14ac:dyDescent="0.25">
      <c r="A4" s="3" t="s">
        <v>5</v>
      </c>
      <c r="B4" s="3" t="s">
        <v>6</v>
      </c>
      <c r="C4" s="3" t="s">
        <v>9</v>
      </c>
      <c r="D4" s="3">
        <v>5.1134999999999993</v>
      </c>
      <c r="E4" s="3">
        <v>0.74952416666666666</v>
      </c>
      <c r="F4" s="3">
        <v>1.849</v>
      </c>
      <c r="G4" s="3">
        <v>0.12891682514891462</v>
      </c>
      <c r="H4" s="3">
        <f>G4*100</f>
        <v>12.891682514891462</v>
      </c>
      <c r="I4" s="3">
        <v>2.1044944398293679</v>
      </c>
      <c r="J4" s="3">
        <v>0.53576282757236282</v>
      </c>
      <c r="K4" s="3">
        <v>0.38809745495874431</v>
      </c>
      <c r="L4" s="3">
        <v>1.2963240200318714E-2</v>
      </c>
    </row>
    <row r="5" spans="1:12" hidden="1" x14ac:dyDescent="0.25">
      <c r="A5" s="3" t="s">
        <v>5</v>
      </c>
      <c r="B5" s="3" t="s">
        <v>10</v>
      </c>
      <c r="C5" s="3" t="s">
        <v>7</v>
      </c>
      <c r="D5" s="3">
        <v>48.849166666666662</v>
      </c>
      <c r="E5" s="3">
        <v>1.2689706666666669</v>
      </c>
      <c r="F5" s="3">
        <v>3.7598275833333328</v>
      </c>
      <c r="G5" s="3">
        <v>0.19182066554912436</v>
      </c>
      <c r="H5" s="3">
        <f>G5*100</f>
        <v>19.182066554912435</v>
      </c>
      <c r="I5" s="3">
        <v>3.346437612890715</v>
      </c>
      <c r="J5" s="3">
        <v>0.21188875912453059</v>
      </c>
      <c r="K5" s="3">
        <v>0.31191143687080558</v>
      </c>
      <c r="L5" s="3">
        <v>1.9982100093538135E-2</v>
      </c>
    </row>
    <row r="6" spans="1:12" hidden="1" x14ac:dyDescent="0.25">
      <c r="A6" s="3" t="s">
        <v>5</v>
      </c>
      <c r="B6" s="3" t="s">
        <v>10</v>
      </c>
      <c r="C6" s="3" t="s">
        <v>8</v>
      </c>
      <c r="D6" s="3">
        <v>21.491872916565342</v>
      </c>
      <c r="E6" s="3">
        <v>1.3474992342222221</v>
      </c>
      <c r="F6" s="3">
        <v>2.2359211838969588</v>
      </c>
      <c r="G6" s="3">
        <v>0.26617657489454344</v>
      </c>
      <c r="H6" s="3">
        <f>G6*100</f>
        <v>26.617657489454345</v>
      </c>
      <c r="I6" s="3">
        <v>2.442192470954645</v>
      </c>
      <c r="J6" s="3">
        <v>0.1544189728218259</v>
      </c>
      <c r="K6" s="3">
        <v>0.1945623665658171</v>
      </c>
      <c r="L6" s="3">
        <v>0.16857908929437537</v>
      </c>
    </row>
    <row r="7" spans="1:12" x14ac:dyDescent="0.25">
      <c r="A7" s="3" t="s">
        <v>5</v>
      </c>
      <c r="B7" s="3" t="s">
        <v>10</v>
      </c>
      <c r="C7" s="3" t="s">
        <v>9</v>
      </c>
      <c r="D7" s="3">
        <v>16.68</v>
      </c>
      <c r="E7" s="3">
        <v>0.85218550676317673</v>
      </c>
      <c r="F7" s="3">
        <v>1.7590370099999999</v>
      </c>
      <c r="G7" s="3">
        <v>0.22557691600762128</v>
      </c>
      <c r="H7" s="3">
        <f>G7*100</f>
        <v>22.557691600762126</v>
      </c>
      <c r="I7" s="3">
        <v>2.4982066294917171</v>
      </c>
      <c r="J7" s="3">
        <v>0.1271931118962798</v>
      </c>
      <c r="K7" s="3">
        <v>0.1743703502436626</v>
      </c>
      <c r="L7" s="3">
        <v>0.10979408658188768</v>
      </c>
    </row>
    <row r="8" spans="1:12" hidden="1" x14ac:dyDescent="0.25">
      <c r="A8" s="3" t="s">
        <v>5</v>
      </c>
      <c r="B8" s="3" t="s">
        <v>11</v>
      </c>
      <c r="C8" s="3" t="s">
        <v>7</v>
      </c>
      <c r="D8" s="3">
        <v>54.857981535441667</v>
      </c>
      <c r="E8" s="3">
        <v>0.8410175691141667</v>
      </c>
      <c r="F8" s="3">
        <v>2.717232333333333</v>
      </c>
      <c r="G8" s="3">
        <v>0.31268230845356398</v>
      </c>
      <c r="H8" s="3">
        <f>G8*100</f>
        <v>31.268230845356399</v>
      </c>
      <c r="I8" s="3">
        <v>2.4442647344306891</v>
      </c>
      <c r="J8" s="3">
        <v>0.14918084641133289</v>
      </c>
      <c r="K8" s="3">
        <v>0.53868979604699385</v>
      </c>
      <c r="L8" s="3">
        <v>6.190679908016937E-2</v>
      </c>
    </row>
    <row r="9" spans="1:12" hidden="1" x14ac:dyDescent="0.25">
      <c r="A9" s="3" t="s">
        <v>5</v>
      </c>
      <c r="B9" s="3" t="s">
        <v>11</v>
      </c>
      <c r="C9" s="3" t="s">
        <v>8</v>
      </c>
      <c r="D9" s="3">
        <v>26.0357010215</v>
      </c>
      <c r="E9" s="3">
        <v>1.1701360000000001</v>
      </c>
      <c r="F9" s="3">
        <v>1.914102694655875</v>
      </c>
      <c r="G9" s="3">
        <v>0.50451791740574825</v>
      </c>
      <c r="H9" s="3">
        <f>G9*100</f>
        <v>50.451791740574826</v>
      </c>
      <c r="I9" s="3">
        <v>2.9119175661129839</v>
      </c>
      <c r="J9" s="3">
        <v>0.19088023874474269</v>
      </c>
      <c r="K9" s="3">
        <v>0.2306872476802368</v>
      </c>
      <c r="L9" s="3">
        <v>7.9756671569595705E-2</v>
      </c>
    </row>
    <row r="10" spans="1:12" x14ac:dyDescent="0.25">
      <c r="A10" s="3" t="s">
        <v>5</v>
      </c>
      <c r="B10" s="3" t="s">
        <v>11</v>
      </c>
      <c r="C10" s="3" t="s">
        <v>9</v>
      </c>
      <c r="D10" s="3">
        <v>19.25663228416667</v>
      </c>
      <c r="E10" s="3">
        <v>0.7537845281054264</v>
      </c>
      <c r="F10" s="3">
        <v>1.618333333333333</v>
      </c>
      <c r="G10" s="3">
        <v>0.43231624548680714</v>
      </c>
      <c r="H10" s="3">
        <f>G10*100</f>
        <v>43.231624548680713</v>
      </c>
      <c r="I10" s="3">
        <v>2.5195862788040011</v>
      </c>
      <c r="J10" s="3">
        <v>0.1024665025832729</v>
      </c>
      <c r="K10" s="3">
        <v>0.16014633291537589</v>
      </c>
      <c r="L10" s="3">
        <v>6.8037488291432441E-2</v>
      </c>
    </row>
    <row r="11" spans="1:12" hidden="1" x14ac:dyDescent="0.25">
      <c r="A11" s="3" t="s">
        <v>12</v>
      </c>
      <c r="B11" s="3" t="s">
        <v>13</v>
      </c>
      <c r="C11" s="3" t="s">
        <v>7</v>
      </c>
      <c r="D11" s="3">
        <v>89.149999999999991</v>
      </c>
      <c r="E11" s="3">
        <v>3.589667318833333</v>
      </c>
      <c r="F11" s="3">
        <v>7.2092809999999981</v>
      </c>
      <c r="G11" s="3">
        <v>0.21373774876046681</v>
      </c>
      <c r="H11" s="3">
        <f>G11*100</f>
        <v>21.373774876046681</v>
      </c>
      <c r="I11" s="3">
        <v>4.1396684100848624</v>
      </c>
      <c r="J11" s="3">
        <v>0.30428731052001939</v>
      </c>
      <c r="K11" s="3">
        <v>0.46487462203577962</v>
      </c>
      <c r="L11" s="3">
        <v>5.476911399951731E-2</v>
      </c>
    </row>
    <row r="12" spans="1:12" hidden="1" x14ac:dyDescent="0.25">
      <c r="A12" s="3" t="s">
        <v>12</v>
      </c>
      <c r="B12" s="3" t="s">
        <v>13</v>
      </c>
      <c r="C12" s="3" t="s">
        <v>8</v>
      </c>
      <c r="D12" s="3">
        <v>46.133333333333333</v>
      </c>
      <c r="E12" s="3">
        <v>1.5268298980107169</v>
      </c>
      <c r="F12" s="3">
        <v>3.6533333333333342</v>
      </c>
      <c r="G12" s="3">
        <v>0.34557171632831313</v>
      </c>
      <c r="H12" s="3">
        <f>G12*100</f>
        <v>34.557171632831313</v>
      </c>
      <c r="I12" s="3">
        <v>3.5190761528698089</v>
      </c>
      <c r="J12" s="3">
        <v>0.19703110832290899</v>
      </c>
      <c r="K12" s="3">
        <v>0.26412150568332038</v>
      </c>
      <c r="L12" s="3">
        <v>6.9138831334038836E-2</v>
      </c>
    </row>
    <row r="13" spans="1:12" x14ac:dyDescent="0.25">
      <c r="A13" s="3" t="s">
        <v>12</v>
      </c>
      <c r="B13" s="3" t="s">
        <v>13</v>
      </c>
      <c r="C13" s="3" t="s">
        <v>9</v>
      </c>
      <c r="D13" s="3">
        <v>25.493333333333339</v>
      </c>
      <c r="E13" s="3">
        <v>0.89476368913332649</v>
      </c>
      <c r="F13" s="3">
        <v>2.9683333333333342</v>
      </c>
      <c r="G13" s="3">
        <v>0.23970936334839224</v>
      </c>
      <c r="H13" s="3">
        <f>G13*100</f>
        <v>23.970936334839223</v>
      </c>
      <c r="I13" s="3">
        <v>2.5911539490888589</v>
      </c>
      <c r="J13" s="3">
        <v>0.1240556395532999</v>
      </c>
      <c r="K13" s="3">
        <v>0.25013040733488429</v>
      </c>
      <c r="L13" s="3">
        <v>4.2981631784785916E-2</v>
      </c>
    </row>
    <row r="14" spans="1:12" hidden="1" x14ac:dyDescent="0.25">
      <c r="A14" s="3" t="s">
        <v>12</v>
      </c>
      <c r="B14" s="3" t="s">
        <v>14</v>
      </c>
      <c r="C14" s="3" t="s">
        <v>7</v>
      </c>
      <c r="D14" s="3">
        <v>79.533333333333317</v>
      </c>
      <c r="E14" s="3">
        <v>3.2629957803849998</v>
      </c>
      <c r="F14" s="3">
        <v>8.3975161666666676</v>
      </c>
      <c r="G14" s="3">
        <v>4.2710008477116444E-2</v>
      </c>
      <c r="H14" s="3">
        <f>G14*100</f>
        <v>4.2710008477116448</v>
      </c>
      <c r="I14" s="3">
        <v>6.3901662139903843</v>
      </c>
      <c r="J14" s="3">
        <v>0.25539289729161813</v>
      </c>
      <c r="K14" s="3">
        <v>0.50694232529797234</v>
      </c>
      <c r="L14" s="3">
        <v>9.1354376768501867E-3</v>
      </c>
    </row>
    <row r="15" spans="1:12" hidden="1" x14ac:dyDescent="0.25">
      <c r="A15" s="3" t="s">
        <v>12</v>
      </c>
      <c r="B15" s="3" t="s">
        <v>14</v>
      </c>
      <c r="C15" s="3" t="s">
        <v>8</v>
      </c>
      <c r="D15" s="3">
        <v>40.15</v>
      </c>
      <c r="E15" s="3">
        <v>1.3993929828770779</v>
      </c>
      <c r="F15" s="3">
        <v>3.4674999999999998</v>
      </c>
      <c r="G15" s="3">
        <v>7.2028103613256358E-2</v>
      </c>
      <c r="H15" s="3">
        <f>G15*100</f>
        <v>7.2028103613256356</v>
      </c>
      <c r="I15" s="3">
        <v>2.9831923108704119</v>
      </c>
      <c r="J15" s="3">
        <v>0.21170779085687069</v>
      </c>
      <c r="K15" s="3">
        <v>0.27247304799857969</v>
      </c>
      <c r="L15" s="3">
        <v>2.3084608656798157E-2</v>
      </c>
    </row>
    <row r="16" spans="1:12" x14ac:dyDescent="0.25">
      <c r="A16" s="3" t="s">
        <v>12</v>
      </c>
      <c r="B16" s="3" t="s">
        <v>14</v>
      </c>
      <c r="C16" s="3" t="s">
        <v>9</v>
      </c>
      <c r="D16" s="3">
        <v>22.057374549999999</v>
      </c>
      <c r="E16" s="3">
        <v>0.79244249999999994</v>
      </c>
      <c r="F16" s="3">
        <v>2.7858333333333332</v>
      </c>
      <c r="G16" s="3">
        <v>0.23459040642254925</v>
      </c>
      <c r="H16" s="3">
        <f>G16*100</f>
        <v>23.459040642254926</v>
      </c>
      <c r="I16" s="3">
        <v>2.3552353501079009</v>
      </c>
      <c r="J16" s="3">
        <v>0.1084335667028854</v>
      </c>
      <c r="K16" s="3">
        <v>0.23632679750500099</v>
      </c>
      <c r="L16" s="3">
        <v>0.13227219179248523</v>
      </c>
    </row>
    <row r="17" spans="1:12" hidden="1" x14ac:dyDescent="0.25">
      <c r="A17" s="3" t="s">
        <v>15</v>
      </c>
      <c r="B17" s="3" t="s">
        <v>16</v>
      </c>
      <c r="C17" s="3" t="s">
        <v>7</v>
      </c>
      <c r="D17" s="3">
        <v>102.5291666666667</v>
      </c>
      <c r="E17" s="3">
        <v>2.7176274999999999</v>
      </c>
      <c r="F17" s="3">
        <v>4.0438999999999998</v>
      </c>
      <c r="G17" s="3">
        <v>0.1806201733177786</v>
      </c>
      <c r="H17" s="3">
        <f>G17*100</f>
        <v>18.062017331777859</v>
      </c>
      <c r="I17" s="3">
        <v>33.659182596468739</v>
      </c>
      <c r="J17" s="3">
        <v>0.4540779290170957</v>
      </c>
      <c r="K17" s="3">
        <v>0.27287404020569972</v>
      </c>
      <c r="L17" s="3">
        <v>3.0951248600126956E-2</v>
      </c>
    </row>
    <row r="18" spans="1:12" hidden="1" x14ac:dyDescent="0.25">
      <c r="A18" s="3" t="s">
        <v>15</v>
      </c>
      <c r="B18" s="3" t="s">
        <v>16</v>
      </c>
      <c r="C18" s="3" t="s">
        <v>8</v>
      </c>
      <c r="D18" s="3">
        <v>39.594095745115567</v>
      </c>
      <c r="E18" s="3">
        <v>2.1223333333333341</v>
      </c>
      <c r="F18" s="3">
        <v>2.690666666666667</v>
      </c>
      <c r="G18" s="3">
        <v>0.31149499848349044</v>
      </c>
      <c r="H18" s="3">
        <f>G18*100</f>
        <v>31.149499848349045</v>
      </c>
      <c r="I18" s="3">
        <v>14.415347191992661</v>
      </c>
      <c r="J18" s="3">
        <v>0.43045424569091362</v>
      </c>
      <c r="K18" s="3">
        <v>0.29559285368816879</v>
      </c>
      <c r="L18" s="3">
        <v>0.10930947082335628</v>
      </c>
    </row>
    <row r="19" spans="1:12" x14ac:dyDescent="0.25">
      <c r="A19" s="3" t="s">
        <v>15</v>
      </c>
      <c r="B19" s="3" t="s">
        <v>16</v>
      </c>
      <c r="C19" s="3" t="s">
        <v>9</v>
      </c>
      <c r="D19" s="3">
        <v>18.848691443470379</v>
      </c>
      <c r="E19" s="3">
        <v>1.8046</v>
      </c>
      <c r="F19" s="3">
        <v>2.1696</v>
      </c>
      <c r="G19" s="3">
        <v>0.23542953059715543</v>
      </c>
      <c r="H19" s="3">
        <f>G19*100</f>
        <v>23.542953059715543</v>
      </c>
      <c r="I19" s="3">
        <v>5.0127374413261458</v>
      </c>
      <c r="J19" s="3">
        <v>0.21977419367283649</v>
      </c>
      <c r="K19" s="3">
        <v>0.37197692010514438</v>
      </c>
      <c r="L19" s="3">
        <v>7.5865092594636446E-2</v>
      </c>
    </row>
    <row r="20" spans="1:12" hidden="1" x14ac:dyDescent="0.25">
      <c r="A20" s="3" t="s">
        <v>15</v>
      </c>
      <c r="B20" s="3" t="s">
        <v>17</v>
      </c>
      <c r="C20" s="3" t="s">
        <v>7</v>
      </c>
      <c r="D20" s="3">
        <v>59.500000000000007</v>
      </c>
      <c r="E20" s="3">
        <v>2.453981421606048</v>
      </c>
      <c r="F20" s="3">
        <v>8.8835833333333341</v>
      </c>
      <c r="G20" s="3">
        <v>0.26030578413744265</v>
      </c>
      <c r="H20" s="3">
        <f>G20*100</f>
        <v>26.030578413744266</v>
      </c>
      <c r="I20" s="3">
        <v>5.0365807304703702</v>
      </c>
      <c r="J20" s="3">
        <v>0.2537092400821731</v>
      </c>
      <c r="K20" s="3">
        <v>0.69843096798262871</v>
      </c>
      <c r="L20" s="3">
        <v>5.9299050279154886E-2</v>
      </c>
    </row>
    <row r="21" spans="1:12" hidden="1" x14ac:dyDescent="0.25">
      <c r="A21" s="3" t="s">
        <v>15</v>
      </c>
      <c r="B21" s="3" t="s">
        <v>17</v>
      </c>
      <c r="C21" s="3" t="s">
        <v>8</v>
      </c>
      <c r="D21" s="3">
        <v>22.69</v>
      </c>
      <c r="E21" s="3">
        <v>1.772537688672845</v>
      </c>
      <c r="F21" s="3">
        <v>2.2607334285233338</v>
      </c>
      <c r="G21" s="3">
        <v>0.19500228364688499</v>
      </c>
      <c r="H21" s="3">
        <f>G21*100</f>
        <v>19.5002283646885</v>
      </c>
      <c r="I21" s="3">
        <v>3.409017453754088</v>
      </c>
      <c r="J21" s="3">
        <v>0.23194892410605791</v>
      </c>
      <c r="K21" s="3">
        <v>0.17426963207040619</v>
      </c>
      <c r="L21" s="3">
        <v>4.981778075620228E-3</v>
      </c>
    </row>
    <row r="22" spans="1:12" x14ac:dyDescent="0.25">
      <c r="A22" s="3" t="s">
        <v>15</v>
      </c>
      <c r="B22" s="3" t="s">
        <v>17</v>
      </c>
      <c r="C22" s="3" t="s">
        <v>9</v>
      </c>
      <c r="D22" s="3">
        <v>11.153333333333331</v>
      </c>
      <c r="E22" s="3">
        <v>1.4199425000000001</v>
      </c>
      <c r="F22" s="3">
        <v>1.904166666666667</v>
      </c>
      <c r="G22" s="3">
        <v>0.13439812595979062</v>
      </c>
      <c r="H22" s="3">
        <f>G22*100</f>
        <v>13.439812595979062</v>
      </c>
      <c r="I22" s="3">
        <v>2.448221370462214</v>
      </c>
      <c r="J22" s="3">
        <v>0.24306760231877869</v>
      </c>
      <c r="K22" s="3">
        <v>0.15452531049186111</v>
      </c>
      <c r="L22" s="3">
        <v>3.0158897105705993E-2</v>
      </c>
    </row>
    <row r="23" spans="1:12" hidden="1" x14ac:dyDescent="0.25">
      <c r="A23" s="3" t="s">
        <v>15</v>
      </c>
      <c r="B23" s="3" t="s">
        <v>18</v>
      </c>
      <c r="C23" s="3" t="s">
        <v>7</v>
      </c>
      <c r="D23" s="3">
        <v>112.9922751209136</v>
      </c>
      <c r="E23" s="3">
        <v>2.6965583333333338</v>
      </c>
      <c r="F23" s="3">
        <v>4.1639583333333334</v>
      </c>
      <c r="G23" s="3">
        <v>0.22146748257258825</v>
      </c>
      <c r="H23" s="3">
        <f>G23*100</f>
        <v>22.146748257258825</v>
      </c>
      <c r="I23" s="3">
        <v>37.84445190527056</v>
      </c>
      <c r="J23" s="3">
        <v>0.15912167310431069</v>
      </c>
      <c r="K23" s="3">
        <v>0.59805221641643147</v>
      </c>
      <c r="L23" s="3">
        <v>5.9500624282121842E-2</v>
      </c>
    </row>
    <row r="24" spans="1:12" hidden="1" x14ac:dyDescent="0.25">
      <c r="A24" s="3" t="s">
        <v>15</v>
      </c>
      <c r="B24" s="3" t="s">
        <v>18</v>
      </c>
      <c r="C24" s="3" t="s">
        <v>8</v>
      </c>
      <c r="D24" s="3">
        <v>47.4068777468527</v>
      </c>
      <c r="E24" s="3">
        <v>2.0587925</v>
      </c>
      <c r="F24" s="3">
        <v>2.5070000000000001</v>
      </c>
      <c r="G24" s="3">
        <v>0.22026884985684389</v>
      </c>
      <c r="H24" s="3">
        <f>G24*100</f>
        <v>22.02688498568439</v>
      </c>
      <c r="I24" s="3">
        <v>9.8187345618679629</v>
      </c>
      <c r="J24" s="3">
        <v>0.4522634204325654</v>
      </c>
      <c r="K24" s="3">
        <v>0.32986865430184342</v>
      </c>
      <c r="L24" s="3">
        <v>2.4772762115417256E-2</v>
      </c>
    </row>
    <row r="25" spans="1:12" x14ac:dyDescent="0.25">
      <c r="A25" s="3" t="s">
        <v>15</v>
      </c>
      <c r="B25" s="3" t="s">
        <v>18</v>
      </c>
      <c r="C25" s="3" t="s">
        <v>9</v>
      </c>
      <c r="D25" s="3">
        <v>22.49438665040558</v>
      </c>
      <c r="E25" s="3">
        <v>1.8180666666666669</v>
      </c>
      <c r="F25" s="3">
        <v>2.29135</v>
      </c>
      <c r="G25" s="3">
        <v>0.19927217034955269</v>
      </c>
      <c r="H25" s="3">
        <f>G25*100</f>
        <v>19.92721703495527</v>
      </c>
      <c r="I25" s="3">
        <v>5.5015484723595547</v>
      </c>
      <c r="J25" s="3">
        <v>0.30931812396076308</v>
      </c>
      <c r="K25" s="3">
        <v>0.44905728830720282</v>
      </c>
      <c r="L25" s="3">
        <v>4.412347750315105E-2</v>
      </c>
    </row>
    <row r="26" spans="1:12" hidden="1" x14ac:dyDescent="0.25">
      <c r="A26" s="3" t="s">
        <v>15</v>
      </c>
      <c r="B26" s="3" t="s">
        <v>19</v>
      </c>
      <c r="C26" s="3" t="s">
        <v>7</v>
      </c>
      <c r="D26" s="3">
        <v>65.416666666666671</v>
      </c>
      <c r="E26" s="3">
        <v>2.2352442164501549</v>
      </c>
      <c r="F26" s="3">
        <v>9.0170833333333338</v>
      </c>
      <c r="G26" s="3">
        <v>0.20087723523672943</v>
      </c>
      <c r="H26" s="3">
        <f>G26*100</f>
        <v>20.087723523672942</v>
      </c>
      <c r="I26" s="3">
        <v>6.6620640172319749</v>
      </c>
      <c r="J26" s="3">
        <v>0.30164143073924032</v>
      </c>
      <c r="K26" s="3">
        <v>0.6890216309712216</v>
      </c>
      <c r="L26" s="3">
        <v>3.7696428083673843E-2</v>
      </c>
    </row>
    <row r="27" spans="1:12" hidden="1" x14ac:dyDescent="0.25">
      <c r="A27" s="3" t="s">
        <v>15</v>
      </c>
      <c r="B27" s="3" t="s">
        <v>19</v>
      </c>
      <c r="C27" s="3" t="s">
        <v>8</v>
      </c>
      <c r="D27" s="3">
        <v>26.413228849999999</v>
      </c>
      <c r="E27" s="3">
        <v>1.931650122027694</v>
      </c>
      <c r="F27" s="3">
        <v>2.2968811833333329</v>
      </c>
      <c r="G27" s="3">
        <v>0.38639816561063361</v>
      </c>
      <c r="H27" s="3">
        <f>G27*100</f>
        <v>38.639816561063363</v>
      </c>
      <c r="I27" s="3">
        <v>3.3187516175150531</v>
      </c>
      <c r="J27" s="3">
        <v>0.31226079412648938</v>
      </c>
      <c r="K27" s="3">
        <v>0.1992539673061485</v>
      </c>
      <c r="L27" s="3">
        <v>5.849363375448223E-2</v>
      </c>
    </row>
    <row r="28" spans="1:12" x14ac:dyDescent="0.25">
      <c r="A28" s="3" t="s">
        <v>15</v>
      </c>
      <c r="B28" s="3" t="s">
        <v>19</v>
      </c>
      <c r="C28" s="3" t="s">
        <v>9</v>
      </c>
      <c r="D28" s="3">
        <v>13.27831045416667</v>
      </c>
      <c r="E28" s="3">
        <v>1.6520416586561479</v>
      </c>
      <c r="F28" s="3">
        <v>1.9733333333333329</v>
      </c>
      <c r="G28" s="3">
        <v>0.26222771681947998</v>
      </c>
      <c r="H28" s="3">
        <f>G28*100</f>
        <v>26.222771681947997</v>
      </c>
      <c r="I28" s="3">
        <v>2.482099830231657</v>
      </c>
      <c r="J28" s="3">
        <v>0.26737731443060658</v>
      </c>
      <c r="K28" s="3">
        <v>0.15749195287051879</v>
      </c>
      <c r="L28" s="3">
        <v>0.13046120789023216</v>
      </c>
    </row>
    <row r="29" spans="1:12" hidden="1" x14ac:dyDescent="0.25">
      <c r="A29" s="3" t="s">
        <v>20</v>
      </c>
      <c r="B29" s="3" t="s">
        <v>21</v>
      </c>
      <c r="C29" s="3" t="s">
        <v>7</v>
      </c>
      <c r="D29" s="3">
        <v>104.1733333333333</v>
      </c>
      <c r="E29" s="3">
        <v>3.5034693333333329</v>
      </c>
      <c r="F29" s="3">
        <v>14.54920033333333</v>
      </c>
      <c r="G29" s="3">
        <v>6.8427215102666569E-2</v>
      </c>
      <c r="H29" s="3">
        <f>G29*100</f>
        <v>6.8427215102666565</v>
      </c>
      <c r="I29" s="3">
        <v>4.6413131631886024</v>
      </c>
      <c r="J29" s="3">
        <v>0.42308338485841079</v>
      </c>
      <c r="K29" s="3">
        <v>0.94727419695944048</v>
      </c>
      <c r="L29" s="3">
        <v>9.2697302488637182E-3</v>
      </c>
    </row>
    <row r="30" spans="1:12" hidden="1" x14ac:dyDescent="0.25">
      <c r="A30" s="3" t="s">
        <v>20</v>
      </c>
      <c r="B30" s="3" t="s">
        <v>21</v>
      </c>
      <c r="C30" s="3" t="s">
        <v>8</v>
      </c>
      <c r="D30" s="3">
        <v>68.566666666666663</v>
      </c>
      <c r="E30" s="3">
        <v>2.4945804444444439</v>
      </c>
      <c r="F30" s="3">
        <v>5.2079279775199989</v>
      </c>
      <c r="G30" s="3">
        <v>0.24291764618279965</v>
      </c>
      <c r="H30" s="3">
        <f>G30*100</f>
        <v>24.291764618279966</v>
      </c>
      <c r="I30" s="3">
        <v>3.5712344016481481</v>
      </c>
      <c r="J30" s="3">
        <v>0.2214066018009124</v>
      </c>
      <c r="K30" s="3">
        <v>0.385759405502209</v>
      </c>
      <c r="L30" s="3">
        <v>4.2025504366989729E-2</v>
      </c>
    </row>
    <row r="31" spans="1:12" x14ac:dyDescent="0.25">
      <c r="A31" s="3" t="s">
        <v>20</v>
      </c>
      <c r="B31" s="3" t="s">
        <v>21</v>
      </c>
      <c r="C31" s="3" t="s">
        <v>9</v>
      </c>
      <c r="D31" s="3">
        <v>51.876666666666672</v>
      </c>
      <c r="E31" s="3">
        <v>2.301501914617579</v>
      </c>
      <c r="F31" s="3">
        <v>4.2833333333333332</v>
      </c>
      <c r="G31" s="3">
        <v>0.44834040166344413</v>
      </c>
      <c r="H31" s="3">
        <f>G31*100</f>
        <v>44.834040166344415</v>
      </c>
      <c r="I31" s="3">
        <v>2.836317501567299</v>
      </c>
      <c r="J31" s="3">
        <v>0.29781588148005739</v>
      </c>
      <c r="K31" s="3">
        <v>0.37108954658223148</v>
      </c>
      <c r="L31" s="3">
        <v>4.9161081089107002E-2</v>
      </c>
    </row>
    <row r="32" spans="1:12" hidden="1" x14ac:dyDescent="0.25">
      <c r="A32" s="3" t="s">
        <v>20</v>
      </c>
      <c r="B32" s="3" t="s">
        <v>22</v>
      </c>
      <c r="C32" s="3" t="s">
        <v>7</v>
      </c>
      <c r="D32" s="3">
        <v>102.9533333333333</v>
      </c>
      <c r="E32" s="3">
        <v>3.2132174999999998</v>
      </c>
      <c r="F32" s="3">
        <v>5.8167833333333334</v>
      </c>
      <c r="G32" s="3">
        <v>0.17214820421591523</v>
      </c>
      <c r="H32" s="3">
        <f>G32*100</f>
        <v>17.214820421591522</v>
      </c>
      <c r="I32" s="3">
        <v>19.406411200218589</v>
      </c>
      <c r="J32" s="3">
        <v>0.28294138256166967</v>
      </c>
      <c r="K32" s="3">
        <v>0.21476290027221509</v>
      </c>
      <c r="L32" s="3">
        <v>5.1204223371534081E-2</v>
      </c>
    </row>
    <row r="33" spans="1:12" hidden="1" x14ac:dyDescent="0.25">
      <c r="A33" s="3" t="s">
        <v>20</v>
      </c>
      <c r="B33" s="3" t="s">
        <v>22</v>
      </c>
      <c r="C33" s="3" t="s">
        <v>8</v>
      </c>
      <c r="D33" s="3">
        <v>69.549166666666665</v>
      </c>
      <c r="E33" s="3">
        <v>2.510416666666667</v>
      </c>
      <c r="F33" s="3">
        <v>4.393883333333334</v>
      </c>
      <c r="G33" s="3">
        <v>0.33150502127079873</v>
      </c>
      <c r="H33" s="3">
        <f>G33*100</f>
        <v>33.150502127079875</v>
      </c>
      <c r="I33" s="3">
        <v>12.47048664945528</v>
      </c>
      <c r="J33" s="3">
        <v>0.28094227641775071</v>
      </c>
      <c r="K33" s="3">
        <v>0.23737077951950411</v>
      </c>
      <c r="L33" s="3">
        <v>4.8175923460942349E-2</v>
      </c>
    </row>
    <row r="34" spans="1:12" x14ac:dyDescent="0.25">
      <c r="A34" s="3" t="s">
        <v>20</v>
      </c>
      <c r="B34" s="3" t="s">
        <v>22</v>
      </c>
      <c r="C34" s="3" t="s">
        <v>9</v>
      </c>
      <c r="D34" s="3">
        <v>37.981639458166669</v>
      </c>
      <c r="E34" s="3">
        <v>2.275206666666667</v>
      </c>
      <c r="F34" s="3">
        <v>3.6286748625833338</v>
      </c>
      <c r="G34" s="3">
        <v>0.51053518652298879</v>
      </c>
      <c r="H34" s="3">
        <f>G34*100</f>
        <v>51.053518652298877</v>
      </c>
      <c r="I34" s="3">
        <v>6.2377144622807483</v>
      </c>
      <c r="J34" s="3">
        <v>0.3712735811631323</v>
      </c>
      <c r="K34" s="3">
        <v>0.28641474588750471</v>
      </c>
      <c r="L34" s="3">
        <v>0.10561035521937737</v>
      </c>
    </row>
    <row r="35" spans="1:12" hidden="1" x14ac:dyDescent="0.25">
      <c r="A35" s="3" t="s">
        <v>20</v>
      </c>
      <c r="B35" s="3" t="s">
        <v>23</v>
      </c>
      <c r="C35" s="3" t="s">
        <v>7</v>
      </c>
      <c r="D35" s="3">
        <v>68.692166248741671</v>
      </c>
      <c r="E35" s="3">
        <v>3.7224425000000001</v>
      </c>
      <c r="F35" s="3">
        <v>14.09930616666667</v>
      </c>
      <c r="G35" s="3">
        <v>0.20341320238111626</v>
      </c>
      <c r="H35" s="3">
        <f>G35*100</f>
        <v>20.341320238111628</v>
      </c>
      <c r="I35" s="3">
        <v>5.9602508363892062</v>
      </c>
      <c r="J35" s="3">
        <v>0.56170125206352128</v>
      </c>
      <c r="K35" s="3">
        <v>0.92358560562180037</v>
      </c>
      <c r="L35" s="3">
        <v>9.273464398295711E-2</v>
      </c>
    </row>
    <row r="36" spans="1:12" hidden="1" x14ac:dyDescent="0.25">
      <c r="A36" s="3" t="s">
        <v>20</v>
      </c>
      <c r="B36" s="3" t="s">
        <v>23</v>
      </c>
      <c r="C36" s="3" t="s">
        <v>8</v>
      </c>
      <c r="D36" s="3">
        <v>36.213333333333331</v>
      </c>
      <c r="E36" s="3">
        <v>2.2115133422222222</v>
      </c>
      <c r="F36" s="3">
        <v>4.7466666666666661</v>
      </c>
      <c r="G36" s="3">
        <v>0.41924510587308811</v>
      </c>
      <c r="H36" s="3">
        <f>G36*100</f>
        <v>41.924510587308809</v>
      </c>
      <c r="I36" s="3">
        <v>3.3632731171592409</v>
      </c>
      <c r="J36" s="3">
        <v>0.24621333302922821</v>
      </c>
      <c r="K36" s="3">
        <v>0.33622258961055002</v>
      </c>
      <c r="L36" s="3">
        <v>2.3567590193060255E-2</v>
      </c>
    </row>
    <row r="37" spans="1:12" x14ac:dyDescent="0.25">
      <c r="A37" s="3" t="s">
        <v>20</v>
      </c>
      <c r="B37" s="3" t="s">
        <v>23</v>
      </c>
      <c r="C37" s="3" t="s">
        <v>9</v>
      </c>
      <c r="D37" s="3">
        <v>27.12</v>
      </c>
      <c r="E37" s="3">
        <v>2.0086727473528381</v>
      </c>
      <c r="F37" s="3">
        <v>4.0539266959566662</v>
      </c>
      <c r="G37" s="3">
        <v>0.54767805920538726</v>
      </c>
      <c r="H37" s="3">
        <f>G37*100</f>
        <v>54.767805920538727</v>
      </c>
      <c r="I37" s="3">
        <v>2.553019602531303</v>
      </c>
      <c r="J37" s="3">
        <v>0.24166100266046489</v>
      </c>
      <c r="K37" s="3">
        <v>0.36191364033603529</v>
      </c>
      <c r="L37" s="3">
        <v>6.6373540739984208E-2</v>
      </c>
    </row>
    <row r="38" spans="1:12" hidden="1" x14ac:dyDescent="0.25">
      <c r="A38" s="3" t="s">
        <v>20</v>
      </c>
      <c r="B38" s="3" t="s">
        <v>24</v>
      </c>
      <c r="C38" s="3" t="s">
        <v>7</v>
      </c>
      <c r="D38" s="3">
        <v>123.05</v>
      </c>
      <c r="E38" s="3">
        <v>2.9669941666666659</v>
      </c>
      <c r="F38" s="3">
        <v>5.5743416666666663</v>
      </c>
      <c r="G38" s="3">
        <v>0.209307830113513</v>
      </c>
      <c r="H38" s="3">
        <f>G38*100</f>
        <v>20.930783011351302</v>
      </c>
      <c r="I38" s="3">
        <v>17.17864523054185</v>
      </c>
      <c r="J38" s="3">
        <v>0.18208788979043439</v>
      </c>
      <c r="K38" s="3">
        <v>0.2146507203398681</v>
      </c>
      <c r="L38" s="3">
        <v>5.6726069441824151E-2</v>
      </c>
    </row>
    <row r="39" spans="1:12" hidden="1" x14ac:dyDescent="0.25">
      <c r="A39" s="3" t="s">
        <v>20</v>
      </c>
      <c r="B39" s="3" t="s">
        <v>24</v>
      </c>
      <c r="C39" s="3" t="s">
        <v>8</v>
      </c>
      <c r="D39" s="3">
        <v>84.441666666666649</v>
      </c>
      <c r="E39" s="3">
        <v>1.82341</v>
      </c>
      <c r="F39" s="3">
        <v>4.0312250000000001</v>
      </c>
      <c r="G39" s="3">
        <v>0.32496860062676691</v>
      </c>
      <c r="H39" s="3">
        <f>G39*100</f>
        <v>32.496860062676689</v>
      </c>
      <c r="I39" s="3">
        <v>26.314391193045029</v>
      </c>
      <c r="J39" s="3">
        <v>0.14600120063329489</v>
      </c>
      <c r="K39" s="3">
        <v>0.21965698517544049</v>
      </c>
      <c r="L39" s="3">
        <v>5.1093036365333439E-2</v>
      </c>
    </row>
    <row r="40" spans="1:12" x14ac:dyDescent="0.25">
      <c r="A40" s="3" t="s">
        <v>20</v>
      </c>
      <c r="B40" s="3" t="s">
        <v>24</v>
      </c>
      <c r="C40" s="3" t="s">
        <v>9</v>
      </c>
      <c r="D40" s="3">
        <v>51.057138390966678</v>
      </c>
      <c r="E40" s="3">
        <v>1.703093333333334</v>
      </c>
      <c r="F40" s="3">
        <v>3.5178208195916669</v>
      </c>
      <c r="G40" s="3">
        <v>0.44627754942961895</v>
      </c>
      <c r="H40" s="3">
        <f>G40*100</f>
        <v>44.627754942961893</v>
      </c>
      <c r="I40" s="3">
        <v>6.2227477432814222</v>
      </c>
      <c r="J40" s="3">
        <v>0.15348532075699869</v>
      </c>
      <c r="K40" s="3">
        <v>0.30228748524824878</v>
      </c>
      <c r="L40" s="3">
        <v>2.8193697111026931E-2</v>
      </c>
    </row>
    <row r="41" spans="1:12" hidden="1" x14ac:dyDescent="0.25">
      <c r="A41" s="3" t="s">
        <v>25</v>
      </c>
      <c r="B41" s="3" t="s">
        <v>26</v>
      </c>
      <c r="C41" s="3" t="s">
        <v>7</v>
      </c>
      <c r="D41" s="3">
        <v>154.26666666666671</v>
      </c>
      <c r="E41" s="3">
        <v>3.8709099999999999</v>
      </c>
      <c r="F41" s="3">
        <v>8.4803083333333351</v>
      </c>
      <c r="G41" s="3">
        <v>0.11156690508727148</v>
      </c>
      <c r="H41" s="3">
        <f>G41*100</f>
        <v>11.156690508727147</v>
      </c>
      <c r="I41" s="3">
        <v>23.140266503958909</v>
      </c>
      <c r="J41" s="3">
        <v>0.2846560602807281</v>
      </c>
      <c r="K41" s="3">
        <v>0.2185581489436999</v>
      </c>
      <c r="L41" s="3">
        <v>5.0133750462816526E-2</v>
      </c>
    </row>
    <row r="42" spans="1:12" hidden="1" x14ac:dyDescent="0.25">
      <c r="A42" s="3" t="s">
        <v>25</v>
      </c>
      <c r="B42" s="3" t="s">
        <v>26</v>
      </c>
      <c r="C42" s="3" t="s">
        <v>8</v>
      </c>
      <c r="D42" s="3">
        <v>92.871666666666655</v>
      </c>
      <c r="E42" s="3">
        <v>2.3067000000000002</v>
      </c>
      <c r="F42" s="3">
        <v>5.5431333333333326</v>
      </c>
      <c r="G42" s="3">
        <v>0.32774393472845065</v>
      </c>
      <c r="H42" s="3">
        <f>G42*100</f>
        <v>32.774393472845063</v>
      </c>
      <c r="I42" s="3">
        <v>21.2199641349874</v>
      </c>
      <c r="J42" s="3">
        <v>0.15972482588672759</v>
      </c>
      <c r="K42" s="3">
        <v>0.23426789767014161</v>
      </c>
      <c r="L42" s="3">
        <v>0.1081459928916919</v>
      </c>
    </row>
    <row r="43" spans="1:12" x14ac:dyDescent="0.25">
      <c r="A43" s="3" t="s">
        <v>25</v>
      </c>
      <c r="B43" s="3" t="s">
        <v>26</v>
      </c>
      <c r="C43" s="3" t="s">
        <v>9</v>
      </c>
      <c r="D43" s="3">
        <v>48.120266666666659</v>
      </c>
      <c r="E43" s="3">
        <v>2.0512084551729499</v>
      </c>
      <c r="F43" s="3">
        <v>5.2742000000000004</v>
      </c>
      <c r="G43" s="3">
        <v>0.35373840720353694</v>
      </c>
      <c r="H43" s="3">
        <f>G43*100</f>
        <v>35.373840720353691</v>
      </c>
      <c r="I43" s="3">
        <v>9.4280793948505774</v>
      </c>
      <c r="J43" s="3">
        <v>0.22461461587539391</v>
      </c>
      <c r="K43" s="3">
        <v>0.3474224831788838</v>
      </c>
      <c r="L43" s="3">
        <v>6.1544991199838209E-2</v>
      </c>
    </row>
    <row r="44" spans="1:12" hidden="1" x14ac:dyDescent="0.25">
      <c r="A44" s="3" t="s">
        <v>25</v>
      </c>
      <c r="B44" s="3" t="s">
        <v>27</v>
      </c>
      <c r="C44" s="3" t="s">
        <v>7</v>
      </c>
      <c r="D44" s="3">
        <v>211.16333333333341</v>
      </c>
      <c r="E44" s="3">
        <v>5.4379137777777782</v>
      </c>
      <c r="F44" s="3">
        <v>16.557374666666671</v>
      </c>
      <c r="G44" s="3">
        <v>0.13727263022391281</v>
      </c>
      <c r="H44" s="3">
        <f>G44*100</f>
        <v>13.727263022391281</v>
      </c>
      <c r="I44" s="3">
        <v>41.867545758962137</v>
      </c>
      <c r="J44" s="3">
        <v>0.48051420633285602</v>
      </c>
      <c r="K44" s="3">
        <v>1.0791057458207389</v>
      </c>
      <c r="L44" s="3">
        <v>3.9505471364549238E-2</v>
      </c>
    </row>
    <row r="45" spans="1:12" hidden="1" x14ac:dyDescent="0.25">
      <c r="A45" s="3" t="s">
        <v>25</v>
      </c>
      <c r="B45" s="3" t="s">
        <v>27</v>
      </c>
      <c r="C45" s="3" t="s">
        <v>8</v>
      </c>
      <c r="D45" s="3">
        <v>80.77</v>
      </c>
      <c r="E45" s="3">
        <v>2.554580444444444</v>
      </c>
      <c r="F45" s="3">
        <v>5.8833333333333337</v>
      </c>
      <c r="G45" s="3">
        <v>0.31446343472443833</v>
      </c>
      <c r="H45" s="3">
        <f>G45*100</f>
        <v>31.446343472443832</v>
      </c>
      <c r="I45" s="3">
        <v>3.8283844207089839</v>
      </c>
      <c r="J45" s="3">
        <v>0.23088201168784839</v>
      </c>
      <c r="K45" s="3">
        <v>0.45328212441026028</v>
      </c>
      <c r="L45" s="3">
        <v>6.6093160131673476E-2</v>
      </c>
    </row>
    <row r="46" spans="1:12" x14ac:dyDescent="0.25">
      <c r="A46" s="3" t="s">
        <v>25</v>
      </c>
      <c r="B46" s="3" t="s">
        <v>27</v>
      </c>
      <c r="C46" s="3" t="s">
        <v>9</v>
      </c>
      <c r="D46" s="3">
        <v>36.783333333333317</v>
      </c>
      <c r="E46" s="3">
        <v>1.9857758333333331</v>
      </c>
      <c r="F46" s="3">
        <v>5.7741666666666669</v>
      </c>
      <c r="G46" s="3">
        <v>0.37277307836847279</v>
      </c>
      <c r="H46" s="3">
        <f>G46*100</f>
        <v>37.277307836847278</v>
      </c>
      <c r="I46" s="3">
        <v>2.868266290836945</v>
      </c>
      <c r="J46" s="3">
        <v>0.1753129951449606</v>
      </c>
      <c r="K46" s="3">
        <v>0.44730705819367372</v>
      </c>
      <c r="L46" s="3">
        <v>0.28188183130142908</v>
      </c>
    </row>
    <row r="47" spans="1:12" hidden="1" x14ac:dyDescent="0.25">
      <c r="A47" s="3" t="s">
        <v>25</v>
      </c>
      <c r="B47" s="3" t="s">
        <v>28</v>
      </c>
      <c r="C47" s="3" t="s">
        <v>7</v>
      </c>
      <c r="D47" s="3">
        <v>340.23333333333329</v>
      </c>
      <c r="E47" s="3">
        <v>3.7637150000000008</v>
      </c>
      <c r="F47" s="3">
        <v>8.385466666666666</v>
      </c>
      <c r="G47" s="3">
        <v>0.22899551785667147</v>
      </c>
      <c r="H47" s="3">
        <f>G47*100</f>
        <v>22.899551785667146</v>
      </c>
      <c r="I47" s="3">
        <v>44.838176171135537</v>
      </c>
      <c r="J47" s="3">
        <v>0.20957413241445769</v>
      </c>
      <c r="K47" s="3">
        <v>0.10308935518042189</v>
      </c>
      <c r="L47" s="3">
        <v>1.1941724173589257E-2</v>
      </c>
    </row>
    <row r="48" spans="1:12" hidden="1" x14ac:dyDescent="0.25">
      <c r="A48" s="3" t="s">
        <v>25</v>
      </c>
      <c r="B48" s="3" t="s">
        <v>28</v>
      </c>
      <c r="C48" s="3" t="s">
        <v>8</v>
      </c>
      <c r="D48" s="3">
        <v>169.76666666666671</v>
      </c>
      <c r="E48" s="3">
        <v>2.4023699999999999</v>
      </c>
      <c r="F48" s="3">
        <v>5.8808416666666661</v>
      </c>
      <c r="G48" s="3">
        <v>0.25616484991558058</v>
      </c>
      <c r="H48" s="3">
        <f>G48*100</f>
        <v>25.616484991558057</v>
      </c>
      <c r="I48" s="3">
        <v>28.959529366179378</v>
      </c>
      <c r="J48" s="3">
        <v>0.1215308756317429</v>
      </c>
      <c r="K48" s="3">
        <v>0.24953113654624479</v>
      </c>
      <c r="L48" s="3">
        <v>1.9224221444100742E-2</v>
      </c>
    </row>
    <row r="49" spans="1:12" x14ac:dyDescent="0.25">
      <c r="A49" s="3" t="s">
        <v>25</v>
      </c>
      <c r="B49" s="3" t="s">
        <v>28</v>
      </c>
      <c r="C49" s="3" t="s">
        <v>9</v>
      </c>
      <c r="D49" s="3">
        <v>102.05833333333329</v>
      </c>
      <c r="E49" s="3">
        <v>2.142206666666667</v>
      </c>
      <c r="F49" s="3">
        <v>5.7747416666666664</v>
      </c>
      <c r="G49" s="3">
        <v>0.27523398062422538</v>
      </c>
      <c r="H49" s="3">
        <f>G49*100</f>
        <v>27.523398062422537</v>
      </c>
      <c r="I49" s="3">
        <v>19.42704552565986</v>
      </c>
      <c r="J49" s="3">
        <v>0.33560558976771132</v>
      </c>
      <c r="K49" s="3">
        <v>0.31752575116282322</v>
      </c>
      <c r="L49" s="3">
        <v>6.2438418458330147E-2</v>
      </c>
    </row>
  </sheetData>
  <autoFilter ref="A1:L49" xr:uid="{A85E80ED-9613-0F45-AAE1-8790F6687996}">
    <filterColumn colId="2">
      <filters>
        <filter val="60-80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8618791754980</dc:creator>
  <cp:lastModifiedBy>yicong1225-wang@outlook.com</cp:lastModifiedBy>
  <dcterms:created xsi:type="dcterms:W3CDTF">2026-06-11T07:40:14Z</dcterms:created>
  <dcterms:modified xsi:type="dcterms:W3CDTF">2026-06-11T08:24:59Z</dcterms:modified>
</cp:coreProperties>
</file>